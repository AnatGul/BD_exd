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nsh-fs2\Export\Товаросопроводительные документы\Бангладеш\АВИА бангладеш\допзапрос\поступил 7.04.26\555-41915591\"/>
    </mc:Choice>
  </mc:AlternateContent>
  <xr:revisionPtr revIDLastSave="0" documentId="13_ncr:1_{703ABFE9-F22E-4352-B525-B0AF475E4FC6}" xr6:coauthVersionLast="47" xr6:coauthVersionMax="47" xr10:uidLastSave="{00000000-0000-0000-0000-000000000000}"/>
  <bookViews>
    <workbookView xWindow="22932" yWindow="-108" windowWidth="23256" windowHeight="12576" firstSheet="10" activeTab="14" xr2:uid="{00000000-000D-0000-FFFF-FFFF00000000}"/>
  </bookViews>
  <sheets>
    <sheet name="NO_IP" sheetId="18" r:id="rId1"/>
    <sheet name="RU-ORDER CONFIRMATION" sheetId="17" r:id="rId2"/>
    <sheet name="ORDER CONFIRMATION" sheetId="16" state="hidden" r:id="rId3"/>
    <sheet name="прайс_лист" sheetId="15" state="hidden" r:id="rId4"/>
    <sheet name="ТО" sheetId="13" r:id="rId5"/>
    <sheet name="Сontract Base" sheetId="1" r:id="rId6"/>
    <sheet name="Shipment Base " sheetId="2" r:id="rId7"/>
    <sheet name="Specification" sheetId="3" r:id="rId8"/>
    <sheet name="Commercial Invoice" sheetId="4" r:id="rId9"/>
    <sheet name="PACKING LIST" sheetId="5" r:id="rId10"/>
    <sheet name="Cargo Receipt" sheetId="6" r:id="rId11"/>
    <sheet name="RU-Specification" sheetId="7" r:id="rId12"/>
    <sheet name="RU-Commercial Invoice" sheetId="8" r:id="rId13"/>
    <sheet name="RU-PACKING LIST" sheetId="9" r:id="rId14"/>
    <sheet name="Перевод экспортной" sheetId="19" r:id="rId15"/>
    <sheet name="RU-Cargo Receipt" sheetId="10" r:id="rId16"/>
    <sheet name="RU - Export Decl." sheetId="11" r:id="rId17"/>
    <sheet name="RU - Form A" sheetId="12" r:id="rId18"/>
  </sheets>
  <externalReferences>
    <externalReference r:id="rId19"/>
  </externalReferences>
  <definedNames>
    <definedName name="_xlnm.Print_Area" localSheetId="14">'Перевод экспортной'!$A$1:$AD$84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 i="19" l="1"/>
  <c r="F14" i="19"/>
  <c r="R56" i="19"/>
  <c r="S51" i="19"/>
  <c r="R49" i="19"/>
  <c r="B4" i="18"/>
  <c r="E16" i="15"/>
  <c r="E15" i="15"/>
  <c r="E4" i="15"/>
</calcChain>
</file>

<file path=xl/sharedStrings.xml><?xml version="1.0" encoding="utf-8"?>
<sst xmlns="http://schemas.openxmlformats.org/spreadsheetml/2006/main" count="4381" uniqueCount="466">
  <si>
    <t>Contract Details</t>
  </si>
  <si>
    <t/>
  </si>
  <si>
    <t>Item</t>
  </si>
  <si>
    <t>English</t>
  </si>
  <si>
    <t>Russian</t>
  </si>
  <si>
    <t>CONTRACT NUMBER</t>
  </si>
  <si>
    <t>837/KP-14-FHK</t>
  </si>
  <si>
    <t>DATE</t>
  </si>
  <si>
    <t>TERMS OF DELIVERY</t>
  </si>
  <si>
    <t>FOB Cam Ranh</t>
  </si>
  <si>
    <t>FOB Камрань</t>
  </si>
  <si>
    <t>TERMS OF PAYMENT</t>
  </si>
  <si>
    <t xml:space="preserve">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
</t>
  </si>
  <si>
    <t>«Покупатель»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</si>
  <si>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</si>
  <si>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</si>
  <si>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</si>
  <si>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</si>
  <si>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</si>
  <si>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</si>
  <si>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</si>
  <si>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</si>
  <si>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</si>
  <si>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</si>
  <si>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</si>
  <si>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</si>
  <si>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</si>
  <si>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</si>
  <si>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</si>
  <si>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HO CHI MINH BRANCH - NHA TRANG TEXTILE &amp; GARMENT JOINT STOCK COMPANY</t>
  </si>
  <si>
    <t>ХОШИМИН БРАНЧ - НХА ТРЭНГ ТЕКСТАЙЛ ЭНД ГАРМЕНТ ДЖОИН СТОК КОМПАНИ</t>
  </si>
  <si>
    <t>OFFICIAL CONSIGNOR ADDRESS</t>
  </si>
  <si>
    <t>54 Ton That Tung, Ben Thanh Ward, District 1, Ho Chi Minh City, Vietnam</t>
  </si>
  <si>
    <t>54 ТОН  ТХАТ ТУНГ, БЭН ТХАНХ ВАРД, ДИСТРИКТ 1, ХОШИМИН СИТИ, ВЬЕТНАМ</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</si>
  <si>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</si>
  <si>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</si>
  <si>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</si>
  <si>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</si>
  <si>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</si>
  <si>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</si>
  <si>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</si>
  <si>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</si>
  <si>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</si>
  <si>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</si>
  <si>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</si>
  <si>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</si>
  <si>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</si>
  <si>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</si>
  <si>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</si>
  <si>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Vietnam</t>
  </si>
  <si>
    <t>Вьетнам</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</si>
  <si>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</si>
  <si>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</si>
  <si>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</si>
  <si>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</si>
  <si>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</si>
  <si>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</si>
  <si>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</si>
  <si>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</si>
  <si>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</si>
  <si>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</si>
  <si>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</si>
  <si>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</si>
  <si>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</si>
  <si>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</si>
  <si>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</si>
  <si>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</si>
  <si>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</si>
  <si>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</si>
  <si>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</si>
  <si>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</si>
  <si>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</si>
  <si>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</si>
  <si>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</si>
  <si>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</si>
  <si>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</si>
  <si>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</si>
  <si>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</si>
  <si>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</si>
  <si>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</si>
  <si>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</si>
  <si>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</si>
  <si>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</si>
  <si>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</si>
  <si>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</si>
  <si>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</si>
  <si>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</si>
  <si>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</si>
  <si>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</si>
  <si>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</si>
  <si>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</si>
  <si>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</si>
  <si>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</si>
  <si>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</si>
  <si>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</si>
  <si>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</si>
  <si>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</si>
  <si>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CI-250226/04-01</t>
  </si>
  <si>
    <t>OFFICIAL EXPEDITOR NAME</t>
  </si>
  <si>
    <t>Not selected</t>
  </si>
  <si>
    <t>SPECIFICATION</t>
  </si>
  <si>
    <t>SPE-CI-250226/04-01</t>
  </si>
  <si>
    <t>OFFICIAL EXPEDITOR ADDRESS</t>
  </si>
  <si>
    <t>NULL</t>
  </si>
  <si>
    <t>COMMERCIAL INVOICE</t>
  </si>
  <si>
    <t>CARGO DELIVERY ADDRESS</t>
  </si>
  <si>
    <t>N/A</t>
  </si>
  <si>
    <t>PACKING LIST</t>
  </si>
  <si>
    <t>PL-CI-250226/04-01</t>
  </si>
  <si>
    <t>REMARKS FOR CARGO RECEIPT</t>
  </si>
  <si>
    <t>CARGO RECEIPT</t>
  </si>
  <si>
    <t>CR-CI-250226/04-01</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</si>
  <si>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</si>
  <si>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</si>
  <si>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</si>
  <si>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</si>
  <si>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</si>
  <si>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</si>
  <si>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</si>
  <si>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</si>
  <si>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</si>
  <si>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</si>
  <si>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</si>
  <si>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</si>
  <si>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</si>
  <si>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</si>
  <si>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</si>
  <si>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</si>
  <si>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</si>
  <si>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</si>
  <si>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</si>
  <si>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</si>
  <si>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</si>
  <si>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</si>
  <si>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</si>
  <si>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</si>
  <si>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Jumper knitting fabric for boys</t>
  </si>
  <si>
    <t>67% cotton; 33% polyester;</t>
  </si>
  <si>
    <t>Size XS (40-42) Height 176 Chest 84 Neck 36</t>
  </si>
  <si>
    <t>brown/multi-colored</t>
  </si>
  <si>
    <t>BKT018389</t>
  </si>
  <si>
    <t>GeeJay</t>
  </si>
  <si>
    <t>pcs</t>
  </si>
  <si>
    <t>CTNS</t>
  </si>
  <si>
    <t>Jumper knitting fabric for men</t>
  </si>
  <si>
    <t>Size S (44-46) Height 182 Chest 92 Neck 39</t>
  </si>
  <si>
    <t>Size M (48-50) Height 182 Chest 96 Neck 40</t>
  </si>
  <si>
    <t>Size L (50-52) Height 182 Chest 104 Neck 42</t>
  </si>
  <si>
    <t>Size XL (52-54) Height 182 Chest 108 Neck 43</t>
  </si>
  <si>
    <t>Size XXL (56.) Height 182 Chest 112 Neck 44</t>
  </si>
  <si>
    <t>Tank top knitting fabric for boys</t>
  </si>
  <si>
    <t>53% cotton; 47% polyester;</t>
  </si>
  <si>
    <t>dark-grey</t>
  </si>
  <si>
    <t>BTN002486</t>
  </si>
  <si>
    <t>Tank top knitting fabric for men</t>
  </si>
  <si>
    <t>ELEVEN THOUSAND ONE HUNDRED AND TWENTY ONE US DOLLARS AND SEVENTY CENTS ONLY</t>
  </si>
  <si>
    <t>Specification number:</t>
  </si>
  <si>
    <t>Date:</t>
  </si>
  <si>
    <t>Seller:</t>
  </si>
  <si>
    <t>Buyer:</t>
  </si>
  <si>
    <t>Consignor</t>
  </si>
  <si>
    <t>Consignee:</t>
  </si>
  <si>
    <t>Forwarder's Cargo Delivery Addres</t>
  </si>
  <si>
    <t>Nr.</t>
  </si>
  <si>
    <t>Art. Number</t>
  </si>
  <si>
    <t>HS Code</t>
  </si>
  <si>
    <t>UOM</t>
  </si>
  <si>
    <t>Price/Unit
FOB Cam Ranh
USD</t>
  </si>
  <si>
    <t>Total Amount
FOB Cam Ranh
USD</t>
  </si>
  <si>
    <t>PRICE  incl. DISCOUNT
FOB Cam Ranh
USD</t>
  </si>
  <si>
    <t>TOTAL AMOUNT incl. DISCOUNT
FOB Cam Ranh
USD</t>
  </si>
  <si>
    <t>TM</t>
  </si>
  <si>
    <t>Manufacturer</t>
  </si>
  <si>
    <t>6110201000</t>
  </si>
  <si>
    <t>6109100000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</si>
  <si>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</si>
  <si>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</si>
  <si>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</si>
  <si>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</si>
  <si>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</si>
  <si>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</si>
  <si>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</si>
  <si>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</si>
  <si>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</si>
  <si>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</si>
  <si>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</si>
  <si>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</si>
  <si>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</si>
  <si>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</si>
  <si>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</si>
  <si>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</si>
  <si>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</si>
  <si>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</si>
  <si>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</si>
  <si>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</si>
  <si>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</si>
  <si>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</si>
  <si>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</si>
  <si>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</si>
  <si>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</si>
  <si>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</si>
  <si>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</si>
  <si>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</si>
  <si>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</si>
  <si>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</si>
  <si>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</si>
  <si>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</si>
  <si>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</si>
  <si>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</si>
  <si>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</si>
  <si>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</si>
  <si>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</si>
  <si>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</si>
  <si>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</si>
  <si>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</si>
  <si>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</si>
  <si>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</si>
  <si>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</si>
  <si>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</si>
  <si>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</si>
  <si>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</si>
  <si>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</si>
  <si>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</si>
  <si>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</si>
  <si>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</si>
  <si>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</si>
  <si>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</si>
  <si>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Камрань
ДОЛЛ США</t>
  </si>
  <si>
    <t>Общая сумма
FOB Камрань
ДОЛЛ США</t>
  </si>
  <si>
    <t>Скидка, %</t>
  </si>
  <si>
    <t>Цена за ед. со скидкой
FOB Камрань
ДОЛЛ США</t>
  </si>
  <si>
    <t>Сумма со скидкой
FOB Камрань
ДОЛЛ США</t>
  </si>
  <si>
    <t>Торговая марка</t>
  </si>
  <si>
    <t>Производитель</t>
  </si>
  <si>
    <t>Джемпер трикотажный для мальчиков</t>
  </si>
  <si>
    <t>Размер XS (40-42) Рост 176 Обхват груди 84 Обхват шеи 36</t>
  </si>
  <si>
    <t>67% хлопок;33% полиэстер</t>
  </si>
  <si>
    <t>коричневый/разноцветный</t>
  </si>
  <si>
    <t>шт</t>
  </si>
  <si>
    <t>Джемпер трикотажный для мужчин</t>
  </si>
  <si>
    <t>Размер S (44-46) Рост 182 Обхват груди 92 Обхват шеи 39</t>
  </si>
  <si>
    <t>Размер M (48-50) Рост 182 Обхват груди 96 Обхват шеи 40</t>
  </si>
  <si>
    <t>Размер L (50-52) Рост 182 Обхват груди 104 Обхват шеи 42</t>
  </si>
  <si>
    <t>Размер XL (52-54) Рост 182 Обхват груди 108 Обхват шеи 43</t>
  </si>
  <si>
    <t>Размер XXL (56.) Рост 182 Обхват груди 112 Обхват шеи 44</t>
  </si>
  <si>
    <t>Майка трикотажная для мальчиков</t>
  </si>
  <si>
    <t>53% хлопок;47% полиэстер</t>
  </si>
  <si>
    <t>темно-серый</t>
  </si>
  <si>
    <t>Майка трикотажная для мужчин</t>
  </si>
  <si>
    <t>Общая сумма к оплате:</t>
  </si>
  <si>
    <t>ДОЛЛ США</t>
  </si>
  <si>
    <t>ОДИННАДЦАТЬ ТЫСЯЧ СТО ДВАДЦАТЬ ОДИН ДОЛЛАР  СЕМЬДЕСЯТ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</si>
  <si>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</si>
  <si>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</si>
  <si>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</si>
  <si>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</si>
  <si>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</si>
  <si>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</si>
  <si>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</si>
  <si>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</si>
  <si>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</si>
  <si>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</si>
  <si>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</si>
  <si>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</si>
  <si>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</si>
  <si>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</si>
  <si>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</si>
  <si>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</si>
  <si>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</si>
  <si>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</si>
  <si>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</si>
  <si>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</si>
  <si>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</si>
  <si>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</si>
  <si>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</si>
  <si>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</si>
  <si>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</si>
  <si>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</si>
  <si>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</si>
  <si>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</si>
  <si>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</si>
  <si>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</si>
  <si>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</si>
  <si>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</si>
  <si>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</si>
  <si>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</si>
  <si>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</si>
  <si>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</si>
  <si>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</si>
  <si>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</si>
  <si>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</si>
  <si>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</si>
  <si>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</si>
  <si>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</si>
  <si>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</si>
  <si>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</si>
  <si>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</si>
  <si>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</si>
  <si>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</si>
  <si>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</si>
  <si>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</si>
  <si>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</si>
  <si>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</si>
  <si>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</si>
  <si>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</si>
  <si>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</si>
  <si>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</si>
  <si>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</si>
  <si>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</si>
  <si>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</si>
  <si>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</si>
  <si>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</si>
  <si>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</si>
  <si>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</si>
  <si>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</si>
  <si>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</si>
  <si>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</si>
  <si>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</si>
  <si>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</si>
  <si>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</si>
  <si>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</si>
  <si>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</si>
  <si>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</si>
  <si>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</si>
  <si>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</si>
  <si>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</si>
  <si>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</si>
  <si>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</si>
  <si>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</si>
  <si>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</si>
  <si>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</si>
  <si>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</si>
  <si>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</si>
  <si>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</si>
  <si>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</si>
  <si>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</si>
  <si>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</si>
  <si>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</si>
  <si>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</si>
  <si>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</si>
  <si>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</si>
  <si>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</si>
  <si>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</si>
  <si>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</si>
  <si>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</si>
  <si>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</si>
  <si>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</si>
  <si>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</si>
  <si>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</si>
  <si>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</si>
  <si>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</si>
  <si>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</si>
  <si>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</si>
  <si>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</si>
  <si>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</si>
  <si>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</si>
  <si>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</si>
  <si>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</si>
  <si>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</si>
  <si>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</si>
  <si>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</si>
  <si>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</si>
  <si>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</si>
  <si>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</si>
  <si>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Джемпер трикотажный для мальчиков и мужчин</t>
  </si>
  <si>
    <t>Размер XS (40-42) Рост 176 Обхват груди 84 Обхват шеи 36
Размер S (44-46) Рост 182 Обхват груди 92 Обхват шеи 39
Размер M (48-50) Рост 182 Обхват груди 96 Обхват шеи 40
Размер L (50-52) Рост 182 Обхват груди 104 Обхват шеи 42
Размер XL (52-54) Рост 182 Обхват груди 108 Обхват шеи 43
Размер XXL (56.) Рост 182 Обхват груди 112 Обхват шеи 44</t>
  </si>
  <si>
    <t>Товар не военного назначения.</t>
  </si>
  <si>
    <t>Майка трикотажная для мальчиков и мужчин</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</si>
  <si>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</si>
  <si>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</si>
  <si>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</si>
  <si>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</si>
  <si>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</si>
  <si>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</si>
  <si>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</si>
  <si>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</si>
  <si>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</si>
  <si>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SC-CI-250226/04-01</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</si>
  <si>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</si>
  <si>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</si>
  <si>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</si>
  <si>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</si>
  <si>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</si>
  <si>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</si>
  <si>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</si>
  <si>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</si>
  <si>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</si>
  <si>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</si>
  <si>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</si>
  <si>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</si>
  <si>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</si>
  <si>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</si>
  <si>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555-41915591</t>
  </si>
  <si>
    <t>Примечания</t>
  </si>
  <si>
    <t>Количество прикрепленного электронного декларирования</t>
  </si>
  <si>
    <t>2</t>
  </si>
  <si>
    <t>3</t>
  </si>
  <si>
    <t>Всего страниц</t>
  </si>
  <si>
    <t xml:space="preserve"> </t>
  </si>
  <si>
    <t>Кол-во единиц (2)</t>
  </si>
  <si>
    <t>ШТ.</t>
  </si>
  <si>
    <t>Кол-во единиц</t>
  </si>
  <si>
    <t>Описание товара</t>
  </si>
  <si>
    <t>VND</t>
  </si>
  <si>
    <t>Классификация код</t>
  </si>
  <si>
    <t>Собственный код</t>
  </si>
  <si>
    <t>Код товара</t>
  </si>
  <si>
    <t>A</t>
  </si>
  <si>
    <t>Общая стоимость</t>
  </si>
  <si>
    <t>Курс</t>
  </si>
  <si>
    <t>FOB - USD</t>
  </si>
  <si>
    <t>Форма оплаты</t>
  </si>
  <si>
    <t>Дата</t>
  </si>
  <si>
    <t>Инвойс</t>
  </si>
  <si>
    <t>Дата выхода</t>
  </si>
  <si>
    <t>9999</t>
  </si>
  <si>
    <t>Рейс</t>
  </si>
  <si>
    <t>Склад</t>
  </si>
  <si>
    <t>МОСКВА-ШЕРЕМЕТЬЕВО</t>
  </si>
  <si>
    <t>RUSVO</t>
  </si>
  <si>
    <t>Место доставки</t>
  </si>
  <si>
    <t>Место хранения груза</t>
  </si>
  <si>
    <t>КГ</t>
  </si>
  <si>
    <t>Вес брутто</t>
  </si>
  <si>
    <t>Коробки</t>
  </si>
  <si>
    <t>Кол-во мест</t>
  </si>
  <si>
    <t>Коносамент</t>
  </si>
  <si>
    <t>Таможенный агент</t>
  </si>
  <si>
    <t>Телефон</t>
  </si>
  <si>
    <t>Ростов-на-Дону, Россия</t>
  </si>
  <si>
    <t>Стачки 184, 344090</t>
  </si>
  <si>
    <t>Наименование</t>
  </si>
  <si>
    <t>Код</t>
  </si>
  <si>
    <t>Получатель</t>
  </si>
  <si>
    <t>Экспортер</t>
  </si>
  <si>
    <t xml:space="preserve">   /  /</t>
  </si>
  <si>
    <t>Дата регистрации</t>
  </si>
  <si>
    <t>Код декларации</t>
  </si>
  <si>
    <t>DNVTNBNINH</t>
  </si>
  <si>
    <t>Таможенный орган</t>
  </si>
  <si>
    <t>Налоговый код</t>
  </si>
  <si>
    <t>Тип кода</t>
  </si>
  <si>
    <t>Код классификации</t>
  </si>
  <si>
    <t xml:space="preserve"> / </t>
  </si>
  <si>
    <t>Номер декларации</t>
  </si>
  <si>
    <t>1/1</t>
  </si>
  <si>
    <t>&lt;EXP&gt;</t>
  </si>
  <si>
    <t>Джемпер</t>
  </si>
  <si>
    <t>Майка</t>
  </si>
  <si>
    <t xml:space="preserve">Джемпер BKT018389, Майка BTN002486,  ,  </t>
  </si>
  <si>
    <t>308348568530</t>
  </si>
  <si>
    <t>E62    1</t>
  </si>
  <si>
    <t>6109</t>
  </si>
  <si>
    <t>02</t>
  </si>
  <si>
    <t>4200237973</t>
  </si>
  <si>
    <t>АО "Корпорация "Глория Джинс"</t>
  </si>
  <si>
    <t>SU0295/28MAR</t>
  </si>
  <si>
    <t>02PJOZZ</t>
  </si>
  <si>
    <t>VNCXR</t>
  </si>
  <si>
    <t>61091010</t>
  </si>
  <si>
    <t>202PJ</t>
  </si>
  <si>
    <t>Майка BTN002486</t>
  </si>
  <si>
    <t>61102000</t>
  </si>
  <si>
    <t>Джемпер BKT018389</t>
  </si>
  <si>
    <t>4.353</t>
  </si>
  <si>
    <t>1.690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</si>
</sst>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26" x14ac:knownFonts="1">
    <font>
      <sz val="11"/>
      <color rgb="FF000000"/>
      <name val="Calibri"/>
      <family val="2"/>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
      <sz val="10"/>
      <name val="Arial"/>
      <family val="2"/>
      <charset val="204"/>
    </font>
    <font>
      <sz val="8"/>
      <name val="Courier New"/>
      <family val="3"/>
    </font>
    <font>
      <sz val="11"/>
      <color theme="1"/>
      <name val="Calibri"/>
      <family val="2"/>
      <scheme val="minor"/>
    </font>
    <font>
      <sz val="8.5"/>
      <name val="Tahoma"/>
      <family val="2"/>
    </font>
    <font>
      <sz val="8"/>
      <name val="Tahoma"/>
      <family val="2"/>
    </font>
    <font>
      <sz val="8.5"/>
      <name val="Courier New"/>
      <family val="3"/>
    </font>
    <font>
      <b/>
      <sz val="12"/>
      <name val="Courier New"/>
      <family val="3"/>
    </font>
    <font>
      <sz val="8"/>
      <color theme="1"/>
      <name val="Courier New"/>
      <family val="3"/>
    </font>
    <font>
      <b/>
      <sz val="8"/>
      <color theme="1"/>
      <name val="Courier New"/>
      <family val="3"/>
    </font>
    <font>
      <b/>
      <sz val="12"/>
      <name val="Tahoma"/>
      <family val="2"/>
    </font>
    <font>
      <b/>
      <sz val="11"/>
      <name val="Tahoma"/>
      <family val="2"/>
    </font>
  </fonts>
  <fills count="5">
    <fill>
      <patternFill patternType="none"/>
    </fill>
    <fill>
      <patternFill patternType="gray125"/>
    </fill>
    <fill>
      <patternFill patternType="solid">
        <fgColor rgb="FFDDA0DD"/>
        <bgColor rgb="FFDDA0DD"/>
      </patternFill>
    </fill>
    <fill>
      <patternFill patternType="solid">
        <fgColor rgb="FFD3D3D3"/>
        <bgColor rgb="FFD3D3D3"/>
      </patternFill>
    </fill>
    <fill>
      <patternFill patternType="solid">
        <fgColor theme="0"/>
        <bgColor indexed="64"/>
      </patternFill>
    </fill>
  </fills>
  <borders count="26">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s>
  <cellStyleXfs count="4">
    <xf numFmtId="0" fontId="0" fillId="0" borderId="0"/>
    <xf numFmtId="0" fontId="14" fillId="0" borderId="0"/>
    <xf numFmtId="0" fontId="15" fillId="0" borderId="0"/>
    <xf numFmtId="0" fontId="17" fillId="0" borderId="0"/>
  </cellStyleXfs>
  <cellXfs count="233">
    <xf numFmtId="0" fontId="1" fillId="0" borderId="0" xfId="0" applyFont="1" applyFill="1" applyBorder="1"/>
    <xf numFmtId="0" fontId="2" fillId="0" borderId="0" xfId="1" applyFont="1" applyAlignment="1">
      <alignment vertical="top" wrapText="1" readingOrder="1"/>
    </xf>
    <xf numFmtId="0" fontId="3" fillId="0" borderId="0" xfId="1" applyFont="1" applyAlignment="1">
      <alignment vertical="top" wrapText="1" readingOrder="1"/>
    </xf>
    <xf numFmtId="0" fontId="4" fillId="0" borderId="0" xfId="1" applyFont="1" applyAlignment="1">
      <alignment vertical="top" wrapText="1" readingOrder="1"/>
    </xf>
    <xf numFmtId="0" fontId="5" fillId="0" borderId="0" xfId="1" applyFont="1" applyAlignment="1">
      <alignment vertical="top" wrapText="1" readingOrder="1"/>
    </xf>
    <xf numFmtId="0" fontId="4" fillId="2" borderId="1" xfId="1" applyFont="1" applyFill="1" applyBorder="1" applyAlignment="1">
      <alignment vertical="top" wrapText="1" readingOrder="1"/>
    </xf>
    <xf numFmtId="0" fontId="4" fillId="3" borderId="1" xfId="1" applyFont="1" applyFill="1" applyBorder="1" applyAlignment="1">
      <alignment vertical="top" wrapText="1" readingOrder="1"/>
    </xf>
    <xf numFmtId="0" fontId="5" fillId="0" borderId="1" xfId="1" applyFont="1" applyBorder="1" applyAlignment="1">
      <alignment vertical="top" wrapText="1" readingOrder="1"/>
    </xf>
    <xf numFmtId="164" fontId="5" fillId="0" borderId="1" xfId="1" applyNumberFormat="1" applyFont="1" applyBorder="1" applyAlignment="1">
      <alignment vertical="top" wrapText="1" readingOrder="1"/>
    </xf>
    <xf numFmtId="0" fontId="5" fillId="2" borderId="1" xfId="1" applyFont="1" applyFill="1" applyBorder="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7" fillId="0" borderId="0" xfId="1" applyFont="1" applyAlignment="1">
      <alignment wrapText="1" readingOrder="1"/>
    </xf>
    <xf numFmtId="164" fontId="6" fillId="0" borderId="0" xfId="1" applyNumberFormat="1" applyFont="1" applyAlignment="1">
      <alignment vertical="top" wrapText="1" readingOrder="1"/>
    </xf>
    <xf numFmtId="0" fontId="6" fillId="0" borderId="0" xfId="1" applyFont="1" applyAlignment="1">
      <alignment wrapText="1" readingOrder="1"/>
    </xf>
    <xf numFmtId="0" fontId="8" fillId="2" borderId="2" xfId="1" applyFont="1" applyFill="1" applyBorder="1" applyAlignment="1">
      <alignment horizontal="center" vertical="center" wrapText="1" readingOrder="1"/>
    </xf>
    <xf numFmtId="0" fontId="9" fillId="3" borderId="2" xfId="1" applyFont="1" applyFill="1" applyBorder="1" applyAlignment="1">
      <alignment vertical="top"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164" fontId="7" fillId="0" borderId="0" xfId="1" applyNumberFormat="1" applyFont="1" applyAlignment="1">
      <alignment vertical="top" wrapText="1" readingOrder="1"/>
    </xf>
    <xf numFmtId="0" fontId="10" fillId="0" borderId="2" xfId="1" applyFont="1" applyBorder="1" applyAlignment="1">
      <alignment horizontal="center" vertical="center" wrapText="1" readingOrder="1"/>
    </xf>
    <xf numFmtId="0" fontId="6" fillId="0" borderId="2" xfId="1" applyFont="1" applyBorder="1" applyAlignment="1">
      <alignment vertical="top" wrapText="1" readingOrder="1"/>
    </xf>
    <xf numFmtId="0" fontId="6" fillId="0" borderId="2" xfId="1" applyFont="1" applyBorder="1" applyAlignment="1">
      <alignment vertical="top" wrapText="1" readingOrder="1"/>
    </xf>
    <xf numFmtId="0" fontId="7" fillId="0" borderId="5" xfId="1" applyFont="1" applyBorder="1" applyAlignment="1">
      <alignment vertical="top" wrapText="1" readingOrder="1"/>
    </xf>
    <xf numFmtId="0" fontId="6" fillId="0" borderId="5" xfId="1" applyFont="1" applyBorder="1" applyAlignment="1">
      <alignment vertical="top" wrapText="1" readingOrder="1"/>
    </xf>
    <xf numFmtId="0" fontId="7" fillId="0" borderId="5" xfId="1" applyFont="1" applyBorder="1" applyAlignment="1">
      <alignment vertical="top" wrapText="1" readingOrder="1"/>
    </xf>
    <xf numFmtId="0" fontId="6" fillId="0" borderId="0" xfId="1" applyFont="1" applyAlignment="1">
      <alignment horizontal="left" vertical="top" wrapText="1" readingOrder="1"/>
    </xf>
    <xf numFmtId="0" fontId="9" fillId="0" borderId="0" xfId="1" applyFont="1" applyAlignment="1">
      <alignment vertical="top" wrapText="1" readingOrder="1"/>
    </xf>
    <xf numFmtId="0" fontId="6" fillId="0" borderId="7" xfId="1" applyFont="1" applyBorder="1" applyAlignment="1">
      <alignment vertical="top" wrapText="1" readingOrder="1"/>
    </xf>
    <xf numFmtId="0" fontId="6" fillId="0" borderId="8" xfId="1" applyFont="1" applyBorder="1" applyAlignment="1">
      <alignment vertical="top" wrapText="1" readingOrder="1"/>
    </xf>
    <xf numFmtId="0" fontId="7" fillId="0" borderId="2" xfId="1" applyFont="1" applyBorder="1" applyAlignment="1">
      <alignment horizontal="center" vertical="center" wrapText="1" readingOrder="1"/>
    </xf>
    <xf numFmtId="0" fontId="7" fillId="0" borderId="9" xfId="1" applyFont="1" applyBorder="1" applyAlignment="1">
      <alignment vertical="top" wrapText="1" readingOrder="1"/>
    </xf>
    <xf numFmtId="0" fontId="6" fillId="0" borderId="9" xfId="1" applyFont="1" applyBorder="1" applyAlignment="1">
      <alignment vertical="top" wrapText="1" readingOrder="1"/>
    </xf>
    <xf numFmtId="0" fontId="7" fillId="0" borderId="9" xfId="1" applyFont="1" applyBorder="1" applyAlignment="1">
      <alignment vertical="top" wrapText="1" readingOrder="1"/>
    </xf>
    <xf numFmtId="164" fontId="4" fillId="0" borderId="0" xfId="1" applyNumberFormat="1" applyFont="1" applyAlignment="1">
      <alignment vertical="top" wrapText="1" readingOrder="1"/>
    </xf>
    <xf numFmtId="0" fontId="4" fillId="0" borderId="2" xfId="1" applyFont="1" applyBorder="1" applyAlignment="1">
      <alignment horizontal="center" vertical="center" wrapText="1" readingOrder="1"/>
    </xf>
    <xf numFmtId="0" fontId="5" fillId="0" borderId="2" xfId="1" applyFont="1" applyBorder="1" applyAlignment="1">
      <alignment vertical="top" wrapText="1" readingOrder="1"/>
    </xf>
    <xf numFmtId="0" fontId="5" fillId="0" borderId="2" xfId="1" applyFont="1" applyBorder="1" applyAlignment="1">
      <alignment vertical="top" wrapText="1" readingOrder="1"/>
    </xf>
    <xf numFmtId="0" fontId="4" fillId="0" borderId="9" xfId="1" applyFont="1" applyBorder="1" applyAlignment="1">
      <alignment vertical="top" wrapText="1" readingOrder="1"/>
    </xf>
    <xf numFmtId="0" fontId="5" fillId="0" borderId="9" xfId="1" applyFont="1" applyBorder="1" applyAlignment="1">
      <alignment vertical="top" wrapText="1" readingOrder="1"/>
    </xf>
    <xf numFmtId="0" fontId="4" fillId="0" borderId="9" xfId="1" applyFont="1" applyBorder="1" applyAlignment="1">
      <alignment vertical="top" wrapText="1" readingOrder="1"/>
    </xf>
    <xf numFmtId="0" fontId="7" fillId="0" borderId="0" xfId="1" applyFont="1" applyAlignment="1">
      <alignment vertical="top" wrapText="1" readingOrder="1"/>
    </xf>
    <xf numFmtId="0" fontId="10" fillId="0" borderId="0" xfId="1" applyFont="1" applyAlignment="1">
      <alignment vertical="top" wrapText="1" readingOrder="1"/>
    </xf>
    <xf numFmtId="164" fontId="5" fillId="0" borderId="0" xfId="1" applyNumberFormat="1" applyFont="1" applyAlignment="1">
      <alignment vertical="top" wrapText="1" readingOrder="1"/>
    </xf>
    <xf numFmtId="0" fontId="4" fillId="0" borderId="12" xfId="1" applyFont="1" applyBorder="1" applyAlignment="1">
      <alignment vertical="top" wrapText="1" readingOrder="1"/>
    </xf>
    <xf numFmtId="0" fontId="3" fillId="0" borderId="9" xfId="1" applyFont="1" applyBorder="1" applyAlignment="1">
      <alignment vertical="top" wrapText="1" readingOrder="1"/>
    </xf>
    <xf numFmtId="0" fontId="5" fillId="0" borderId="11" xfId="1" applyFont="1" applyBorder="1" applyAlignment="1">
      <alignment vertical="top" wrapText="1" readingOrder="1"/>
    </xf>
    <xf numFmtId="0" fontId="5" fillId="0" borderId="12" xfId="1" applyFont="1" applyBorder="1" applyAlignment="1">
      <alignment vertical="top" wrapText="1" readingOrder="1"/>
    </xf>
    <xf numFmtId="0" fontId="5" fillId="0" borderId="16" xfId="1" applyFont="1" applyBorder="1" applyAlignment="1">
      <alignment vertical="top" wrapText="1" readingOrder="1"/>
    </xf>
    <xf numFmtId="0" fontId="5" fillId="0" borderId="17" xfId="1" applyFont="1" applyBorder="1" applyAlignment="1">
      <alignment vertical="top" wrapText="1" readingOrder="1"/>
    </xf>
    <xf numFmtId="0" fontId="5" fillId="0" borderId="19" xfId="1" applyFont="1" applyBorder="1" applyAlignment="1">
      <alignment vertical="top" wrapText="1" readingOrder="1"/>
    </xf>
    <xf numFmtId="0" fontId="5" fillId="0" borderId="7" xfId="1" applyFont="1" applyBorder="1" applyAlignment="1">
      <alignment vertical="top" wrapText="1" readingOrder="1"/>
    </xf>
    <xf numFmtId="0" fontId="5" fillId="0" borderId="14" xfId="1" applyFont="1" applyBorder="1" applyAlignment="1">
      <alignment vertical="top" wrapText="1" readingOrder="1"/>
    </xf>
    <xf numFmtId="0" fontId="1" fillId="0" borderId="0" xfId="0" applyFont="1" applyFill="1" applyBorder="1" applyAlignment="1">
      <alignment horizontal="center"/>
    </xf>
    <xf numFmtId="14" fontId="1" fillId="0" borderId="0" xfId="0" applyNumberFormat="1" applyFont="1" applyFill="1" applyBorder="1"/>
    <xf numFmtId="0" fontId="1" fillId="0" borderId="0" xfId="0" applyFont="1" applyFill="1" applyBorder="1" applyAlignment="1">
      <alignment wrapText="1"/>
    </xf>
    <xf numFmtId="0" fontId="1" fillId="0" borderId="0" xfId="0" applyFont="1" applyFill="1" applyBorder="1" applyAlignment="1">
      <alignment horizontal="left"/>
    </xf>
    <xf numFmtId="0" fontId="1" fillId="0" borderId="0" xfId="0" applyFont="1" applyFill="1" applyBorder="1" applyAlignment="1">
      <alignment horizontal="left" vertical="center"/>
    </xf>
    <xf numFmtId="14" fontId="1" fillId="0" borderId="0" xfId="0" applyNumberFormat="1" applyFont="1" applyFill="1" applyBorder="1" applyAlignment="1">
      <alignment horizontal="left"/>
    </xf>
    <xf numFmtId="0" fontId="1" fillId="0" borderId="20" xfId="0" applyFont="1" applyFill="1" applyBorder="1" applyAlignment="1">
      <alignment horizontal="center" vertical="center"/>
    </xf>
    <xf numFmtId="0" fontId="1" fillId="0" borderId="2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0" applyFont="1" applyFill="1" applyBorder="1" applyAlignment="1"/>
    <xf numFmtId="0" fontId="1" fillId="0" borderId="0" xfId="0" applyFont="1" applyFill="1" applyBorder="1"/>
    <xf numFmtId="0" fontId="6" fillId="0" borderId="0" xfId="1" applyFont="1" applyAlignment="1">
      <alignment vertical="top" wrapText="1" readingOrder="1"/>
    </xf>
    <xf numFmtId="0" fontId="7" fillId="0" borderId="0" xfId="1" applyFont="1" applyAlignment="1">
      <alignment vertical="top" wrapText="1" readingOrder="1"/>
    </xf>
    <xf numFmtId="0" fontId="6" fillId="0" borderId="7" xfId="1" applyFont="1" applyBorder="1" applyAlignment="1">
      <alignment vertical="top" wrapText="1" readingOrder="1"/>
    </xf>
    <xf numFmtId="0" fontId="9" fillId="0" borderId="0" xfId="1" applyFont="1" applyAlignment="1">
      <alignment vertical="top" wrapText="1" readingOrder="1"/>
    </xf>
    <xf numFmtId="0" fontId="6" fillId="0" borderId="0" xfId="1" applyFont="1" applyAlignment="1">
      <alignment horizontal="left" vertical="top" wrapText="1" readingOrder="1"/>
    </xf>
    <xf numFmtId="0" fontId="7" fillId="0" borderId="5" xfId="1" applyFont="1" applyBorder="1" applyAlignment="1">
      <alignment vertical="top" wrapText="1" readingOrder="1"/>
    </xf>
    <xf numFmtId="0" fontId="7" fillId="0" borderId="9" xfId="1" applyFont="1" applyBorder="1" applyAlignment="1">
      <alignment vertical="top" wrapText="1" readingOrder="1"/>
    </xf>
    <xf numFmtId="0" fontId="6" fillId="0" borderId="2" xfId="1" applyFont="1" applyBorder="1" applyAlignment="1">
      <alignment vertical="top" wrapText="1" readingOrder="1"/>
    </xf>
    <xf numFmtId="0" fontId="6" fillId="0" borderId="8" xfId="1" applyFont="1" applyBorder="1" applyAlignment="1">
      <alignment vertical="top" wrapText="1" readingOrder="1"/>
    </xf>
    <xf numFmtId="14" fontId="10" fillId="0" borderId="2" xfId="1" applyNumberFormat="1" applyFont="1" applyBorder="1" applyAlignment="1">
      <alignment horizontal="center" vertical="center" wrapText="1" readingOrder="1"/>
    </xf>
    <xf numFmtId="14" fontId="6" fillId="0" borderId="2" xfId="1" applyNumberFormat="1" applyFont="1" applyBorder="1" applyAlignment="1">
      <alignment vertical="top" wrapText="1" readingOrder="1"/>
    </xf>
    <xf numFmtId="14" fontId="6" fillId="0" borderId="5" xfId="1" applyNumberFormat="1" applyFont="1" applyBorder="1" applyAlignment="1">
      <alignment vertical="top" wrapText="1" readingOrder="1"/>
    </xf>
    <xf numFmtId="14" fontId="6" fillId="0" borderId="9" xfId="1" applyNumberFormat="1" applyFont="1" applyBorder="1" applyAlignment="1">
      <alignment vertical="top" wrapText="1" readingOrder="1"/>
    </xf>
    <xf numFmtId="0" fontId="1" fillId="0" borderId="0" xfId="0" applyFont="1" applyFill="1" applyBorder="1" applyAlignment="1">
      <alignment horizontal="right"/>
    </xf>
    <xf numFmtId="0" fontId="1" fillId="0" borderId="0" xfId="0" applyNumberFormat="1" applyFont="1" applyFill="1" applyBorder="1" applyAlignment="1">
      <alignment horizontal="left"/>
    </xf>
    <xf numFmtId="0" fontId="16" fillId="0" borderId="0" xfId="2" applyFont="1" applyAlignment="1">
      <alignment horizontal="left" vertical="center"/>
    </xf>
    <xf numFmtId="0" fontId="17" fillId="0" borderId="0" xfId="3"/>
    <xf numFmtId="0" fontId="16" fillId="0" borderId="0" xfId="2" applyFont="1" applyAlignment="1">
      <alignment vertical="center"/>
    </xf>
    <xf numFmtId="0" fontId="16" fillId="0" borderId="0" xfId="2" applyFont="1" applyAlignment="1">
      <alignment horizontal="left" vertical="center"/>
    </xf>
    <xf numFmtId="0" fontId="16" fillId="0" borderId="0" xfId="2" applyFont="1" applyAlignment="1">
      <alignment horizontal="center" vertical="center"/>
    </xf>
    <xf numFmtId="0" fontId="16" fillId="0" borderId="0" xfId="2" applyFont="1" applyAlignment="1">
      <alignment horizontal="center" vertical="center"/>
    </xf>
    <xf numFmtId="0" fontId="18" fillId="0" borderId="0" xfId="2" applyFont="1" applyAlignment="1">
      <alignment horizontal="left" vertical="center"/>
    </xf>
    <xf numFmtId="0" fontId="19" fillId="0" borderId="0" xfId="2" applyFont="1" applyAlignment="1">
      <alignment horizontal="center" vertical="center"/>
    </xf>
    <xf numFmtId="0" fontId="16" fillId="0" borderId="21" xfId="2" applyFont="1" applyBorder="1" applyAlignment="1">
      <alignment horizontal="left" vertical="center"/>
    </xf>
    <xf numFmtId="0" fontId="18" fillId="0" borderId="0" xfId="2" applyFont="1" applyAlignment="1">
      <alignment horizontal="left" vertical="center"/>
    </xf>
    <xf numFmtId="0" fontId="18" fillId="0" borderId="0" xfId="2" applyFont="1" applyAlignment="1">
      <alignment horizontal="center" vertical="center"/>
    </xf>
    <xf numFmtId="0" fontId="16" fillId="0" borderId="22" xfId="2" applyFont="1" applyBorder="1" applyAlignment="1">
      <alignment horizontal="left" vertical="center"/>
    </xf>
    <xf numFmtId="0" fontId="16" fillId="0" borderId="22" xfId="2" applyFont="1" applyBorder="1" applyAlignment="1">
      <alignment horizontal="center" vertical="center"/>
    </xf>
    <xf numFmtId="0" fontId="16" fillId="0" borderId="22" xfId="2" applyFont="1" applyBorder="1" applyAlignment="1">
      <alignment vertical="center"/>
    </xf>
    <xf numFmtId="0" fontId="16" fillId="0" borderId="23" xfId="2" applyFont="1" applyBorder="1" applyAlignment="1">
      <alignment vertical="center"/>
    </xf>
    <xf numFmtId="0" fontId="19" fillId="0" borderId="23" xfId="2" applyFont="1" applyBorder="1" applyAlignment="1">
      <alignment vertical="center"/>
    </xf>
    <xf numFmtId="0" fontId="18" fillId="0" borderId="23" xfId="2" applyFont="1" applyBorder="1" applyAlignment="1">
      <alignment vertical="center"/>
    </xf>
    <xf numFmtId="0" fontId="18" fillId="0" borderId="0" xfId="2" applyFont="1" applyAlignment="1">
      <alignment vertical="center"/>
    </xf>
    <xf numFmtId="0" fontId="20" fillId="0" borderId="0" xfId="2" applyFont="1" applyAlignment="1">
      <alignment horizontal="left" vertical="center"/>
    </xf>
    <xf numFmtId="0" fontId="16" fillId="0" borderId="22" xfId="2" applyFont="1" applyBorder="1" applyAlignment="1">
      <alignment horizontal="center" vertical="center"/>
    </xf>
    <xf numFmtId="0" fontId="18" fillId="0" borderId="22" xfId="2" applyFont="1" applyBorder="1" applyAlignment="1">
      <alignment vertical="center"/>
    </xf>
    <xf numFmtId="0" fontId="18" fillId="0" borderId="22" xfId="2" applyFont="1" applyBorder="1" applyAlignment="1">
      <alignment horizontal="left" vertical="center"/>
    </xf>
    <xf numFmtId="0" fontId="16" fillId="0" borderId="24" xfId="2" applyFont="1" applyBorder="1" applyAlignment="1">
      <alignment vertical="center"/>
    </xf>
    <xf numFmtId="2" fontId="16" fillId="0" borderId="0" xfId="2" applyNumberFormat="1" applyFont="1" applyAlignment="1">
      <alignment vertical="center"/>
    </xf>
    <xf numFmtId="0" fontId="16" fillId="0" borderId="22" xfId="2" applyFont="1" applyBorder="1" applyAlignment="1">
      <alignment horizontal="left" vertical="center"/>
    </xf>
    <xf numFmtId="0" fontId="19" fillId="0" borderId="22" xfId="2" applyFont="1" applyBorder="1" applyAlignment="1">
      <alignment horizontal="center" vertical="center"/>
    </xf>
    <xf numFmtId="0" fontId="16" fillId="0" borderId="25" xfId="2" applyFont="1" applyBorder="1" applyAlignment="1">
      <alignment vertical="center"/>
    </xf>
    <xf numFmtId="0" fontId="16" fillId="0" borderId="0" xfId="2" applyFont="1" applyAlignment="1">
      <alignment vertical="center"/>
    </xf>
    <xf numFmtId="0" fontId="16" fillId="0" borderId="0" xfId="2" applyFont="1" applyAlignment="1">
      <alignment horizontal="left" vertical="center" wrapText="1"/>
    </xf>
    <xf numFmtId="0" fontId="16" fillId="0" borderId="0" xfId="2" applyFont="1" applyAlignment="1">
      <alignment horizontal="right" vertical="center"/>
    </xf>
    <xf numFmtId="0" fontId="16" fillId="0" borderId="0" xfId="2" applyFont="1"/>
    <xf numFmtId="0" fontId="16" fillId="0" borderId="23" xfId="2" applyFont="1" applyBorder="1" applyAlignment="1">
      <alignment horizontal="left" vertical="center"/>
    </xf>
    <xf numFmtId="0" fontId="18" fillId="0" borderId="23" xfId="2" applyFont="1" applyBorder="1" applyAlignment="1">
      <alignment horizontal="left" vertical="center"/>
    </xf>
    <xf numFmtId="0" fontId="22" fillId="0" borderId="0" xfId="2" applyFont="1" applyAlignment="1">
      <alignment vertical="center"/>
    </xf>
    <xf numFmtId="0" fontId="18" fillId="0" borderId="0" xfId="2" applyFont="1" applyAlignment="1">
      <alignment horizontal="left" vertical="top"/>
    </xf>
    <xf numFmtId="0" fontId="16" fillId="0" borderId="0" xfId="2" applyFont="1" applyAlignment="1">
      <alignment horizontal="left" vertical="top" wrapText="1"/>
    </xf>
    <xf numFmtId="0" fontId="16" fillId="0" borderId="0" xfId="2" applyFont="1" applyAlignment="1">
      <alignment horizontal="left" vertical="top"/>
    </xf>
    <xf numFmtId="0" fontId="16" fillId="0" borderId="21" xfId="2" applyFont="1" applyBorder="1" applyAlignment="1">
      <alignment horizontal="left" vertical="top" wrapText="1"/>
    </xf>
    <xf numFmtId="0" fontId="16" fillId="0" borderId="21" xfId="2" applyFont="1" applyBorder="1" applyAlignment="1">
      <alignment horizontal="left" vertical="center" wrapText="1"/>
    </xf>
    <xf numFmtId="0" fontId="16" fillId="0" borderId="21" xfId="2" applyFont="1" applyBorder="1" applyAlignment="1">
      <alignment horizontal="left" vertical="top"/>
    </xf>
    <xf numFmtId="0" fontId="16" fillId="0" borderId="0" xfId="2" applyFont="1" applyAlignment="1">
      <alignment horizontal="left" vertical="center" wrapText="1"/>
    </xf>
    <xf numFmtId="0" fontId="19" fillId="0" borderId="0" xfId="2" applyFont="1" applyAlignment="1">
      <alignment horizontal="left" vertical="top"/>
    </xf>
    <xf numFmtId="0" fontId="19" fillId="0" borderId="0" xfId="2" applyFont="1" applyAlignment="1">
      <alignment horizontal="left" vertical="center" wrapText="1"/>
    </xf>
    <xf numFmtId="0" fontId="18" fillId="0" borderId="0" xfId="2" applyFont="1" applyAlignment="1">
      <alignment horizontal="left" vertical="center" wrapText="1"/>
    </xf>
    <xf numFmtId="0" fontId="16" fillId="0" borderId="21" xfId="2" applyFont="1" applyBorder="1" applyAlignment="1">
      <alignment vertical="center"/>
    </xf>
    <xf numFmtId="0" fontId="16" fillId="0" borderId="21" xfId="2" applyFont="1" applyBorder="1" applyAlignment="1">
      <alignment horizontal="center" vertical="center"/>
    </xf>
    <xf numFmtId="0" fontId="16" fillId="0" borderId="0" xfId="2" quotePrefix="1" applyFont="1" applyAlignment="1">
      <alignment horizontal="left"/>
    </xf>
    <xf numFmtId="0" fontId="19" fillId="0" borderId="0" xfId="2" applyFont="1" applyAlignment="1">
      <alignment horizontal="left" vertical="center"/>
    </xf>
    <xf numFmtId="0" fontId="24" fillId="0" borderId="0" xfId="2" applyFont="1" applyAlignment="1">
      <alignment vertical="center"/>
    </xf>
    <xf numFmtId="0" fontId="21" fillId="0" borderId="0" xfId="2" applyFont="1" applyAlignment="1">
      <alignment vertical="center"/>
    </xf>
    <xf numFmtId="0" fontId="6" fillId="0" borderId="8" xfId="1" applyFont="1" applyBorder="1" applyAlignment="1">
      <alignment vertical="top" wrapText="1" readingOrder="1"/>
    </xf>
    <xf numFmtId="0" fontId="1" fillId="0" borderId="8" xfId="1" applyFont="1" applyBorder="1" applyAlignment="1">
      <alignment vertical="top" wrapText="1"/>
    </xf>
    <xf numFmtId="0" fontId="6" fillId="0" borderId="0" xfId="1" applyFont="1" applyAlignment="1">
      <alignment vertical="top" wrapText="1" readingOrder="1"/>
    </xf>
    <xf numFmtId="0" fontId="1" fillId="0" borderId="0" xfId="0" applyFont="1" applyFill="1" applyBorder="1"/>
    <xf numFmtId="0" fontId="6" fillId="0" borderId="0" xfId="1" applyFont="1" applyAlignment="1">
      <alignment horizontal="left" vertical="top" wrapText="1" readingOrder="1"/>
    </xf>
    <xf numFmtId="0" fontId="7" fillId="0" borderId="0" xfId="1" applyFont="1" applyAlignment="1">
      <alignment wrapText="1" readingOrder="1"/>
    </xf>
    <xf numFmtId="0" fontId="7" fillId="0" borderId="0" xfId="1" applyFont="1" applyAlignment="1">
      <alignment vertical="top" wrapText="1" readingOrder="1"/>
    </xf>
    <xf numFmtId="0" fontId="7" fillId="0" borderId="9" xfId="1" applyFont="1" applyBorder="1" applyAlignment="1">
      <alignment vertical="top" wrapText="1" readingOrder="1"/>
    </xf>
    <xf numFmtId="0" fontId="1" fillId="0" borderId="9" xfId="1" applyFont="1" applyBorder="1" applyAlignment="1">
      <alignment vertical="top" wrapText="1"/>
    </xf>
    <xf numFmtId="0" fontId="6" fillId="0" borderId="2" xfId="1" applyFont="1" applyBorder="1" applyAlignment="1">
      <alignment vertical="top" wrapText="1" readingOrder="1"/>
    </xf>
    <xf numFmtId="0" fontId="1" fillId="0" borderId="5" xfId="1" applyFont="1" applyBorder="1" applyAlignment="1">
      <alignment vertical="top" wrapText="1"/>
    </xf>
    <xf numFmtId="0" fontId="1" fillId="0" borderId="6" xfId="1" applyFont="1" applyBorder="1" applyAlignment="1">
      <alignment vertical="top" wrapText="1"/>
    </xf>
    <xf numFmtId="164" fontId="7" fillId="0" borderId="0" xfId="1" applyNumberFormat="1" applyFont="1" applyAlignment="1">
      <alignment vertical="top" wrapText="1" readingOrder="1"/>
    </xf>
    <xf numFmtId="0" fontId="2" fillId="0" borderId="0" xfId="1" applyFont="1" applyAlignment="1">
      <alignment horizontal="center" vertical="center" wrapText="1" readingOrder="1"/>
    </xf>
    <xf numFmtId="0" fontId="6" fillId="0" borderId="0" xfId="1" applyFont="1" applyAlignment="1">
      <alignment horizontal="center" vertical="top" wrapText="1" readingOrder="1"/>
    </xf>
    <xf numFmtId="0" fontId="2" fillId="0" borderId="0" xfId="1" applyFont="1" applyAlignment="1">
      <alignment horizontal="center" wrapText="1" readingOrder="1"/>
    </xf>
    <xf numFmtId="0" fontId="6" fillId="0" borderId="7" xfId="1" applyFont="1" applyBorder="1" applyAlignment="1">
      <alignment vertical="top" wrapText="1" readingOrder="1"/>
    </xf>
    <xf numFmtId="0" fontId="1" fillId="0" borderId="7" xfId="1" applyFont="1" applyBorder="1" applyAlignment="1">
      <alignment vertical="top" wrapText="1"/>
    </xf>
    <xf numFmtId="0" fontId="9" fillId="0" borderId="0" xfId="1" applyFont="1" applyAlignment="1">
      <alignment vertical="top" wrapText="1" readingOrder="1"/>
    </xf>
    <xf numFmtId="0" fontId="7" fillId="0" borderId="5" xfId="1" applyFont="1" applyBorder="1" applyAlignment="1">
      <alignment vertical="top" wrapText="1" readingOrder="1"/>
    </xf>
    <xf numFmtId="0" fontId="6" fillId="0" borderId="2" xfId="1" applyFont="1" applyBorder="1" applyAlignment="1">
      <alignment horizontal="left" vertical="top" wrapText="1" readingOrder="1"/>
    </xf>
    <xf numFmtId="0" fontId="5" fillId="0" borderId="0" xfId="1" applyFont="1" applyAlignment="1">
      <alignment horizontal="center" vertical="top" wrapText="1" readingOrder="1"/>
    </xf>
    <xf numFmtId="0" fontId="7" fillId="3" borderId="0" xfId="1" applyFont="1" applyFill="1" applyAlignment="1">
      <alignment vertical="top" wrapText="1" readingOrder="1"/>
    </xf>
    <xf numFmtId="164" fontId="6" fillId="0" borderId="0" xfId="1" applyNumberFormat="1" applyFont="1" applyAlignment="1">
      <alignment vertical="top" wrapText="1" readingOrder="1"/>
    </xf>
    <xf numFmtId="0" fontId="2" fillId="0" borderId="0" xfId="1" applyFont="1" applyAlignment="1">
      <alignment wrapText="1" readingOrder="1"/>
    </xf>
    <xf numFmtId="0" fontId="7" fillId="3" borderId="1" xfId="1" applyFont="1" applyFill="1" applyBorder="1" applyAlignment="1">
      <alignment vertical="top" wrapText="1" readingOrder="1"/>
    </xf>
    <xf numFmtId="0" fontId="1" fillId="0" borderId="3" xfId="1" applyFont="1" applyBorder="1" applyAlignment="1">
      <alignment vertical="top" wrapText="1"/>
    </xf>
    <xf numFmtId="0" fontId="1" fillId="0" borderId="4" xfId="1" applyFont="1" applyBorder="1" applyAlignment="1">
      <alignment vertical="top" wrapText="1"/>
    </xf>
    <xf numFmtId="0" fontId="6" fillId="0" borderId="1" xfId="1" applyFont="1" applyBorder="1" applyAlignment="1">
      <alignment horizontal="left" vertical="top" wrapText="1" readingOrder="1"/>
    </xf>
    <xf numFmtId="0" fontId="7" fillId="2" borderId="0" xfId="1" applyFont="1" applyFill="1" applyAlignment="1">
      <alignment vertical="top" wrapText="1" readingOrder="1"/>
    </xf>
    <xf numFmtId="0" fontId="7" fillId="2" borderId="0" xfId="1" applyFont="1" applyFill="1" applyAlignment="1">
      <alignment horizontal="center" vertical="top" wrapText="1" readingOrder="1"/>
    </xf>
    <xf numFmtId="0" fontId="2" fillId="0" borderId="0" xfId="1" applyFont="1" applyAlignment="1">
      <alignment vertical="top" wrapText="1" readingOrder="1"/>
    </xf>
    <xf numFmtId="0" fontId="7" fillId="0" borderId="2" xfId="1" applyFont="1" applyBorder="1" applyAlignment="1">
      <alignment horizontal="center" vertical="center" wrapText="1" readingOrder="1"/>
    </xf>
    <xf numFmtId="0" fontId="5" fillId="0" borderId="0" xfId="1" applyFont="1" applyAlignment="1">
      <alignment vertical="top" wrapText="1" readingOrder="1"/>
    </xf>
    <xf numFmtId="0" fontId="5" fillId="0" borderId="2" xfId="1" applyFont="1" applyBorder="1" applyAlignment="1">
      <alignment vertical="top" wrapText="1" readingOrder="1"/>
    </xf>
    <xf numFmtId="0" fontId="5" fillId="0" borderId="10" xfId="1" applyFont="1" applyBorder="1" applyAlignment="1">
      <alignment vertical="top" wrapText="1" readingOrder="1"/>
    </xf>
    <xf numFmtId="0" fontId="1" fillId="0" borderId="10" xfId="1" applyFont="1" applyBorder="1" applyAlignment="1">
      <alignment vertical="top" wrapText="1"/>
    </xf>
    <xf numFmtId="0" fontId="4" fillId="0" borderId="9" xfId="1" applyFont="1" applyBorder="1" applyAlignment="1">
      <alignment vertical="top" wrapText="1" readingOrder="1"/>
    </xf>
    <xf numFmtId="0" fontId="4" fillId="0" borderId="0" xfId="1" applyFont="1" applyAlignment="1">
      <alignment vertical="top" wrapText="1" readingOrder="1"/>
    </xf>
    <xf numFmtId="0" fontId="4" fillId="0" borderId="2" xfId="1" applyFont="1" applyBorder="1" applyAlignment="1">
      <alignment horizontal="center" vertical="center" wrapText="1" readingOrder="1"/>
    </xf>
    <xf numFmtId="0" fontId="11" fillId="0" borderId="0" xfId="1" applyFont="1" applyAlignment="1">
      <alignment horizontal="center" wrapText="1" readingOrder="1"/>
    </xf>
    <xf numFmtId="0" fontId="6" fillId="0" borderId="10" xfId="1" applyFont="1" applyBorder="1" applyAlignment="1">
      <alignment vertical="top" wrapText="1" readingOrder="1"/>
    </xf>
    <xf numFmtId="0" fontId="12" fillId="0" borderId="0" xfId="1" applyFont="1" applyAlignment="1">
      <alignment horizontal="center" vertical="center" wrapText="1" readingOrder="1"/>
    </xf>
    <xf numFmtId="0" fontId="12" fillId="0" borderId="0" xfId="1" applyFont="1" applyAlignment="1">
      <alignment horizontal="center" wrapText="1" readingOrder="1"/>
    </xf>
    <xf numFmtId="0" fontId="16" fillId="0" borderId="0" xfId="2" applyFont="1" applyAlignment="1">
      <alignment horizontal="left" vertical="center"/>
    </xf>
    <xf numFmtId="0" fontId="16" fillId="0" borderId="0" xfId="2" applyFont="1" applyAlignment="1">
      <alignment horizontal="center" vertical="center"/>
    </xf>
    <xf numFmtId="0" fontId="18" fillId="0" borderId="0" xfId="2" applyFont="1" applyAlignment="1">
      <alignment horizontal="left" vertical="center"/>
    </xf>
    <xf numFmtId="0" fontId="16" fillId="4" borderId="0" xfId="2" applyFont="1" applyFill="1" applyAlignment="1">
      <alignment horizontal="left" vertical="top" wrapText="1"/>
    </xf>
    <xf numFmtId="0" fontId="18" fillId="0" borderId="0" xfId="2" applyFont="1" applyAlignment="1">
      <alignment horizontal="center" vertical="center"/>
    </xf>
    <xf numFmtId="0" fontId="16" fillId="0" borderId="0" xfId="2" applyFont="1" applyAlignment="1">
      <alignment horizontal="left" vertical="top" wrapText="1"/>
    </xf>
    <xf numFmtId="0" fontId="16" fillId="0" borderId="0" xfId="2" applyFont="1" applyAlignment="1">
      <alignment horizontal="right" vertical="center"/>
    </xf>
    <xf numFmtId="0" fontId="16" fillId="0" borderId="21" xfId="2" applyFont="1" applyBorder="1" applyAlignment="1">
      <alignment horizontal="center" vertical="center"/>
    </xf>
    <xf numFmtId="0" fontId="21" fillId="0" borderId="0" xfId="2" quotePrefix="1" applyFont="1" applyAlignment="1">
      <alignment horizontal="left" vertical="center"/>
    </xf>
    <xf numFmtId="0" fontId="21" fillId="0" borderId="0" xfId="2" applyFont="1" applyAlignment="1">
      <alignment horizontal="left" vertical="center"/>
    </xf>
    <xf numFmtId="0" fontId="18" fillId="0" borderId="0" xfId="2" applyFont="1" applyAlignment="1">
      <alignment horizontal="left" vertical="top"/>
    </xf>
    <xf numFmtId="0" fontId="16" fillId="0" borderId="24" xfId="2" applyFont="1" applyBorder="1" applyAlignment="1">
      <alignment horizontal="center" vertical="center"/>
    </xf>
    <xf numFmtId="2" fontId="16" fillId="0" borderId="0" xfId="2" applyNumberFormat="1" applyFont="1" applyAlignment="1">
      <alignment horizontal="right" vertical="center"/>
    </xf>
    <xf numFmtId="0" fontId="16" fillId="0" borderId="22" xfId="2" applyFont="1" applyBorder="1" applyAlignment="1">
      <alignment horizontal="center" vertical="center"/>
    </xf>
    <xf numFmtId="0" fontId="18" fillId="0" borderId="22" xfId="2" applyFont="1" applyBorder="1" applyAlignment="1">
      <alignment horizontal="right" vertical="center"/>
    </xf>
    <xf numFmtId="0" fontId="16" fillId="0" borderId="22" xfId="2" applyFont="1" applyBorder="1" applyAlignment="1">
      <alignment horizontal="left" vertical="center"/>
    </xf>
    <xf numFmtId="14" fontId="16" fillId="0" borderId="0" xfId="2" applyNumberFormat="1" applyFont="1" applyAlignment="1">
      <alignment horizontal="left" vertical="center"/>
    </xf>
    <xf numFmtId="0" fontId="16" fillId="0" borderId="0" xfId="2" applyFont="1"/>
    <xf numFmtId="0" fontId="16" fillId="0" borderId="0" xfId="2" applyFont="1" applyAlignment="1">
      <alignment horizontal="center" vertical="center" wrapText="1"/>
    </xf>
    <xf numFmtId="0" fontId="16" fillId="0" borderId="0" xfId="2" quotePrefix="1" applyFont="1" applyAlignment="1">
      <alignment vertical="center"/>
    </xf>
    <xf numFmtId="0" fontId="16" fillId="0" borderId="0" xfId="2" applyFont="1" applyAlignment="1">
      <alignment vertical="center"/>
    </xf>
    <xf numFmtId="0" fontId="16" fillId="0" borderId="0" xfId="2" applyFont="1" applyAlignment="1">
      <alignment horizontal="left"/>
    </xf>
    <xf numFmtId="0" fontId="16" fillId="0" borderId="21" xfId="2" applyFont="1" applyBorder="1" applyAlignment="1">
      <alignment horizontal="left" vertical="top" wrapText="1"/>
    </xf>
    <xf numFmtId="0" fontId="22" fillId="0" borderId="0" xfId="2" applyFont="1" applyAlignment="1">
      <alignment horizontal="left" vertical="center"/>
    </xf>
    <xf numFmtId="0" fontId="23" fillId="0" borderId="0" xfId="2" applyFont="1" applyAlignment="1">
      <alignment horizontal="left" vertical="center"/>
    </xf>
    <xf numFmtId="0" fontId="16" fillId="0" borderId="23" xfId="2" applyFont="1" applyBorder="1" applyAlignment="1">
      <alignment horizontal="left" vertical="center"/>
    </xf>
    <xf numFmtId="0" fontId="16" fillId="0" borderId="23" xfId="2" applyFont="1" applyBorder="1" applyAlignment="1">
      <alignment horizontal="center" vertical="center"/>
    </xf>
    <xf numFmtId="0" fontId="18" fillId="0" borderId="23" xfId="2" applyFont="1" applyBorder="1" applyAlignment="1">
      <alignment horizontal="center" vertical="center"/>
    </xf>
    <xf numFmtId="0" fontId="19" fillId="0" borderId="0" xfId="2" applyFont="1" applyAlignment="1">
      <alignment horizontal="left" vertical="center"/>
    </xf>
    <xf numFmtId="0" fontId="16" fillId="0" borderId="0" xfId="2" applyFont="1" applyAlignment="1">
      <alignment horizontal="left" vertical="center" wrapText="1"/>
    </xf>
    <xf numFmtId="0" fontId="16" fillId="0" borderId="0" xfId="2" quotePrefix="1" applyFont="1" applyAlignment="1">
      <alignment horizontal="left" vertical="center" wrapText="1"/>
    </xf>
    <xf numFmtId="0" fontId="16" fillId="0" borderId="0" xfId="2" quotePrefix="1" applyFont="1" applyAlignment="1">
      <alignment horizontal="left" vertical="top" wrapText="1"/>
    </xf>
    <xf numFmtId="0" fontId="22" fillId="0" borderId="0" xfId="2" applyFont="1" applyAlignment="1">
      <alignment horizontal="left" vertical="top" wrapText="1"/>
    </xf>
    <xf numFmtId="14" fontId="16" fillId="0" borderId="0" xfId="2" applyNumberFormat="1" applyFont="1" applyAlignment="1">
      <alignment horizontal="left"/>
    </xf>
    <xf numFmtId="0" fontId="18" fillId="0" borderId="0" xfId="2" applyFont="1" applyAlignment="1">
      <alignment horizontal="right" vertical="center"/>
    </xf>
    <xf numFmtId="0" fontId="16" fillId="0" borderId="0" xfId="2" applyFont="1" applyAlignment="1">
      <alignment horizontal="center"/>
    </xf>
    <xf numFmtId="0" fontId="25" fillId="0" borderId="0" xfId="2" applyFont="1" applyAlignment="1">
      <alignment horizontal="center" vertical="center"/>
    </xf>
    <xf numFmtId="0" fontId="4" fillId="0" borderId="11" xfId="1" applyFont="1" applyBorder="1" applyAlignment="1">
      <alignment vertical="top" wrapText="1" readingOrder="1"/>
    </xf>
    <xf numFmtId="0" fontId="4" fillId="0" borderId="0" xfId="1" applyFont="1" applyAlignment="1">
      <alignment horizontal="center" wrapText="1" readingOrder="1"/>
    </xf>
    <xf numFmtId="0" fontId="5" fillId="0" borderId="16" xfId="1" applyFont="1" applyBorder="1" applyAlignment="1">
      <alignment vertical="top" wrapText="1" readingOrder="1"/>
    </xf>
    <xf numFmtId="0" fontId="5" fillId="0" borderId="11" xfId="1" applyFont="1" applyBorder="1" applyAlignment="1">
      <alignment vertical="top" wrapText="1" readingOrder="1"/>
    </xf>
    <xf numFmtId="0" fontId="5" fillId="0" borderId="9" xfId="1" applyFont="1" applyBorder="1" applyAlignment="1">
      <alignment vertical="top" wrapText="1" readingOrder="1"/>
    </xf>
    <xf numFmtId="0" fontId="5" fillId="0" borderId="0" xfId="1" applyFont="1" applyAlignment="1">
      <alignment vertical="center" wrapText="1" readingOrder="1"/>
    </xf>
    <xf numFmtId="0" fontId="5" fillId="0" borderId="13" xfId="1" applyFont="1" applyBorder="1" applyAlignment="1">
      <alignment vertical="top" wrapText="1" readingOrder="1"/>
    </xf>
    <xf numFmtId="0" fontId="1" fillId="0" borderId="14" xfId="1" applyFont="1" applyBorder="1" applyAlignment="1">
      <alignment vertical="top" wrapText="1"/>
    </xf>
    <xf numFmtId="0" fontId="5" fillId="0" borderId="15" xfId="1" applyFont="1" applyBorder="1" applyAlignment="1">
      <alignment vertical="top" wrapText="1" readingOrder="1"/>
    </xf>
    <xf numFmtId="0" fontId="1" fillId="0" borderId="12" xfId="1" applyFont="1" applyBorder="1" applyAlignment="1">
      <alignment vertical="top" wrapText="1"/>
    </xf>
    <xf numFmtId="0" fontId="5" fillId="0" borderId="12" xfId="1" applyFont="1" applyBorder="1" applyAlignment="1">
      <alignment vertical="top" wrapText="1" readingOrder="1"/>
    </xf>
    <xf numFmtId="0" fontId="4" fillId="0" borderId="15" xfId="1" applyFont="1" applyBorder="1" applyAlignment="1">
      <alignment vertical="top" wrapText="1" readingOrder="1"/>
    </xf>
    <xf numFmtId="0" fontId="13" fillId="0" borderId="0" xfId="1" applyFont="1" applyAlignment="1">
      <alignment horizontal="right" vertical="center" wrapText="1" readingOrder="1"/>
    </xf>
    <xf numFmtId="0" fontId="4" fillId="0" borderId="0" xfId="1" applyFont="1" applyAlignment="1">
      <alignment horizontal="right" vertical="top" wrapText="1" readingOrder="1"/>
    </xf>
    <xf numFmtId="0" fontId="5" fillId="0" borderId="18" xfId="1" applyFont="1" applyBorder="1" applyAlignment="1">
      <alignment vertical="top" wrapText="1" readingOrder="1"/>
    </xf>
    <xf numFmtId="0" fontId="1" fillId="0" borderId="17" xfId="1" applyFont="1" applyBorder="1" applyAlignment="1">
      <alignment vertical="top" wrapText="1"/>
    </xf>
    <xf numFmtId="0" fontId="5" fillId="0" borderId="18" xfId="1" applyFont="1" applyBorder="1" applyAlignment="1">
      <alignment horizontal="center" wrapText="1" readingOrder="1"/>
    </xf>
    <xf numFmtId="0" fontId="5" fillId="0" borderId="18" xfId="1" applyFont="1" applyBorder="1" applyAlignment="1">
      <alignment horizontal="center" vertical="top" wrapText="1" readingOrder="1"/>
    </xf>
    <xf numFmtId="0" fontId="4" fillId="0" borderId="18" xfId="1" applyFont="1" applyBorder="1" applyAlignment="1">
      <alignment vertical="top" wrapText="1" readingOrder="1"/>
    </xf>
    <xf numFmtId="0" fontId="9" fillId="0" borderId="18" xfId="1" applyFont="1" applyBorder="1" applyAlignment="1">
      <alignment horizontal="center" vertical="top" wrapText="1" readingOrder="1"/>
    </xf>
    <xf numFmtId="0" fontId="9" fillId="0" borderId="15" xfId="1" applyFont="1" applyBorder="1" applyAlignment="1">
      <alignment horizontal="right" vertical="top" wrapText="1" readingOrder="1"/>
    </xf>
    <xf numFmtId="0" fontId="5" fillId="0" borderId="2" xfId="1" applyFont="1" applyBorder="1" applyAlignment="1">
      <alignment horizontal="center" vertical="top" wrapText="1" readingOrder="1"/>
    </xf>
    <xf numFmtId="0" fontId="1" fillId="0" borderId="0" xfId="0" applyFont="1"/>
  </cellXfs>
  <cellStyles count="4">
    <cellStyle name="Normal" xfId="1" xr:uid="{00000000-0005-0000-0000-000000000000}"/>
    <cellStyle name="Обычный" xfId="0" builtinId="0"/>
    <cellStyle name="Обычный 2" xfId="3" xr:uid="{291C7F2B-F6C4-418C-952C-12B4742B5211}"/>
    <cellStyle name="Обычный 2 2" xfId="2" xr:uid="{2D30AC68-0E88-49C3-BCC6-08AEDC79ABB0}"/>
  </cellStyles>
  <dxfs count="18">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160020</xdr:colOff>
      <xdr:row>45</xdr:row>
      <xdr:rowOff>137160</xdr:rowOff>
    </xdr:from>
    <xdr:to>
      <xdr:col>6</xdr:col>
      <xdr:colOff>160020</xdr:colOff>
      <xdr:row>46</xdr:row>
      <xdr:rowOff>1732280</xdr:rowOff>
    </xdr:to>
    <xdr:pic>
      <xdr:nvPicPr>
        <xdr:cNvPr id="3" name="Рисунок 2">
          <a:extLst>
            <a:ext uri="{FF2B5EF4-FFF2-40B4-BE49-F238E27FC236}">
              <a16:creationId xmlns:a16="http://schemas.microsoft.com/office/drawing/2014/main" id="{21AF42A3-B161-4F3E-9663-3F2083BAA73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20" y="18051780"/>
          <a:ext cx="3901440" cy="1778000"/>
        </a:xfrm>
        <a:prstGeom prst="rect">
          <a:avLst/>
        </a:prstGeom>
      </xdr:spPr>
    </xdr:pic>
    <xdr:clientData/>
  </xdr:twoCellAnchor>
  <xdr:twoCellAnchor editAs="oneCell">
    <xdr:from>
      <xdr:col>8</xdr:col>
      <xdr:colOff>182880</xdr:colOff>
      <xdr:row>45</xdr:row>
      <xdr:rowOff>137160</xdr:rowOff>
    </xdr:from>
    <xdr:to>
      <xdr:col>17</xdr:col>
      <xdr:colOff>182880</xdr:colOff>
      <xdr:row>46</xdr:row>
      <xdr:rowOff>1732280</xdr:rowOff>
    </xdr:to>
    <xdr:pic>
      <xdr:nvPicPr>
        <xdr:cNvPr id="5" name="Рисунок 4">
          <a:extLst>
            <a:ext uri="{FF2B5EF4-FFF2-40B4-BE49-F238E27FC236}">
              <a16:creationId xmlns:a16="http://schemas.microsoft.com/office/drawing/2014/main" id="{73389809-13BB-4A72-9A05-B2765A49E89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83480" y="1805178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4</xdr:col>
      <xdr:colOff>0</xdr:colOff>
      <xdr:row>33</xdr:row>
      <xdr:rowOff>132080</xdr:rowOff>
    </xdr:to>
    <xdr:pic>
      <xdr:nvPicPr>
        <xdr:cNvPr id="3" name="Рисунок 2">
          <a:extLst>
            <a:ext uri="{FF2B5EF4-FFF2-40B4-BE49-F238E27FC236}">
              <a16:creationId xmlns:a16="http://schemas.microsoft.com/office/drawing/2014/main" id="{E99C4A69-0B7A-4669-993E-78DE51B54C5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75488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48</xdr:row>
      <xdr:rowOff>0</xdr:rowOff>
    </xdr:from>
    <xdr:to>
      <xdr:col>6</xdr:col>
      <xdr:colOff>0</xdr:colOff>
      <xdr:row>57</xdr:row>
      <xdr:rowOff>132080</xdr:rowOff>
    </xdr:to>
    <xdr:pic>
      <xdr:nvPicPr>
        <xdr:cNvPr id="5" name="Рисунок 4">
          <a:extLst>
            <a:ext uri="{FF2B5EF4-FFF2-40B4-BE49-F238E27FC236}">
              <a16:creationId xmlns:a16="http://schemas.microsoft.com/office/drawing/2014/main" id="{A92DF07B-A044-4C94-946E-1D5A83DA139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0078700"/>
          <a:ext cx="3901440" cy="1778000"/>
        </a:xfrm>
        <a:prstGeom prst="rect">
          <a:avLst/>
        </a:prstGeom>
      </xdr:spPr>
    </xdr:pic>
    <xdr:clientData/>
  </xdr:twoCellAnchor>
  <xdr:twoCellAnchor editAs="oneCell">
    <xdr:from>
      <xdr:col>9</xdr:col>
      <xdr:colOff>0</xdr:colOff>
      <xdr:row>48</xdr:row>
      <xdr:rowOff>0</xdr:rowOff>
    </xdr:from>
    <xdr:to>
      <xdr:col>18</xdr:col>
      <xdr:colOff>0</xdr:colOff>
      <xdr:row>57</xdr:row>
      <xdr:rowOff>132080</xdr:rowOff>
    </xdr:to>
    <xdr:pic>
      <xdr:nvPicPr>
        <xdr:cNvPr id="7" name="Рисунок 6">
          <a:extLst>
            <a:ext uri="{FF2B5EF4-FFF2-40B4-BE49-F238E27FC236}">
              <a16:creationId xmlns:a16="http://schemas.microsoft.com/office/drawing/2014/main" id="{5531C0FD-714F-4623-A05F-E0CF4F1551B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2007870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48</xdr:row>
      <xdr:rowOff>1</xdr:rowOff>
    </xdr:from>
    <xdr:to>
      <xdr:col>16</xdr:col>
      <xdr:colOff>0</xdr:colOff>
      <xdr:row>58</xdr:row>
      <xdr:rowOff>132081</xdr:rowOff>
    </xdr:to>
    <xdr:pic>
      <xdr:nvPicPr>
        <xdr:cNvPr id="4" name="Рисунок 3">
          <a:extLst>
            <a:ext uri="{FF2B5EF4-FFF2-40B4-BE49-F238E27FC236}">
              <a16:creationId xmlns:a16="http://schemas.microsoft.com/office/drawing/2014/main" id="{6567EF1A-C524-425A-A12F-B61D6D17982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5034261"/>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31</xdr:row>
      <xdr:rowOff>0</xdr:rowOff>
    </xdr:from>
    <xdr:to>
      <xdr:col>11</xdr:col>
      <xdr:colOff>0</xdr:colOff>
      <xdr:row>41</xdr:row>
      <xdr:rowOff>132080</xdr:rowOff>
    </xdr:to>
    <xdr:pic>
      <xdr:nvPicPr>
        <xdr:cNvPr id="4" name="Рисунок 3">
          <a:extLst>
            <a:ext uri="{FF2B5EF4-FFF2-40B4-BE49-F238E27FC236}">
              <a16:creationId xmlns:a16="http://schemas.microsoft.com/office/drawing/2014/main" id="{C7CAA1D5-3694-4139-84B2-AF5E5ABA508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8031480"/>
          <a:ext cx="4114800" cy="1778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I-250226-06-0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_IP"/>
      <sheetName val="RU-ORDER CONFIRMATION"/>
      <sheetName val="ORDER CONFIRMATION"/>
      <sheetName val="прайс_лист"/>
      <sheetName val="ТО"/>
      <sheetName val="Сontract Base"/>
      <sheetName val="Shipment Base "/>
      <sheetName val="Specification"/>
      <sheetName val="Commercial Invoice"/>
      <sheetName val="PACKING LIST"/>
      <sheetName val="Cargo Receipt"/>
      <sheetName val="RU-Specification"/>
      <sheetName val="RU-Commercial Invoice"/>
      <sheetName val="RU-PACKING LIST"/>
      <sheetName val="Перевод экспортной"/>
      <sheetName val="RU-Cargo Receipt"/>
      <sheetName val="RU - Export Decl."/>
      <sheetName val="RU - Form A"/>
    </sheetNames>
    <sheetDataSet>
      <sheetData sheetId="0"/>
      <sheetData sheetId="1"/>
      <sheetData sheetId="2"/>
      <sheetData sheetId="3"/>
      <sheetData sheetId="4"/>
      <sheetData sheetId="5">
        <row r="15">
          <cell r="C15" t="str">
            <v>ХОШИМИН БРАНЧ - НХА ТРЭНГ ТЕКСТАЙЛ ЭНД ГАРМЕНТ ДЖОИН СТОК КОМПАНИ</v>
          </cell>
        </row>
        <row r="16">
          <cell r="C16" t="str">
            <v>54 ТОН  ТХАТ ТУНГ, БЭН ТХАНХ ВАРД, ДИСТРИКТ 1, ХОШИМИН СИТИ, ВЬЕТНАМ</v>
          </cell>
        </row>
      </sheetData>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46270-8F6B-43BA-8A0C-E63678A954F1}">
  <dimension ref="A1:D6"/>
  <sheetViews>
    <sheetView workbookViewId="0">
      <selection activeCell="D4" sqref="D4:D6"/>
    </sheetView>
  </sheetViews>
  <sheetFormatPr defaultRowHeight="14.4" x14ac:dyDescent="0.3"/>
  <cols>
    <col min="1" max="4" width="30.77734375" customWidth="1"/>
  </cols>
  <sheetData>
    <row r="1" spans="1:4" x14ac:dyDescent="0.3">
      <c r="B1" t="s">
        <v>388</v>
      </c>
    </row>
    <row r="2" spans="1:4" ht="100.8" x14ac:dyDescent="0.3">
      <c r="A2" s="60" t="s">
        <v>384</v>
      </c>
      <c r="B2" s="60" t="s">
        <v>385</v>
      </c>
      <c r="C2" s="60" t="s">
        <v>386</v>
      </c>
      <c r="D2" s="60" t="s">
        <v>387</v>
      </c>
    </row>
    <row r="4" spans="1:4" x14ac:dyDescent="0.3">
      <c r="A4" s="77" t="s">
        <v>389</v>
      </c>
      <c r="B4" s="78">
        <f>D4</f>
        <v>46120</v>
      </c>
      <c r="C4" s="77" t="s">
        <v>207</v>
      </c>
      <c r="D4" s="58">
        <v>46120</v>
      </c>
    </row>
    <row r="6" spans="1:4" x14ac:dyDescent="0.3">
      <c r="A6" t="s">
        <v>390</v>
      </c>
      <c r="C6" t="s">
        <v>392</v>
      </c>
      <c r="D6" t="s">
        <v>391</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0F471-E4A5-48D5-BEFF-FBBA567692D0}">
  <dimension ref="A1:S49"/>
  <sheetViews>
    <sheetView showGridLines="0" workbookViewId="0">
      <selection sqref="A1:S1"/>
    </sheetView>
  </sheetViews>
  <sheetFormatPr defaultRowHeight="14.4" x14ac:dyDescent="0.3"/>
  <cols>
    <col min="1" max="1" width="2.88671875" style="63" customWidth="1"/>
    <col min="2" max="2" width="12.33203125" style="63" customWidth="1"/>
    <col min="3" max="3" width="10.44140625" style="63" customWidth="1"/>
    <col min="4" max="4" width="9.21875" style="63" customWidth="1"/>
    <col min="5" max="6" width="8.77734375" style="63" customWidth="1"/>
    <col min="7" max="10" width="6.5546875" style="63" customWidth="1"/>
    <col min="11" max="11" width="8.77734375" style="63" customWidth="1"/>
    <col min="12" max="12" width="7.33203125" style="63" customWidth="1"/>
    <col min="13" max="17" width="6.5546875" style="63" customWidth="1"/>
    <col min="18" max="18" width="6.109375" style="63" customWidth="1"/>
    <col min="19" max="19" width="9.6640625" style="63" customWidth="1"/>
    <col min="20" max="20" width="65.77734375" style="63" customWidth="1"/>
    <col min="21" max="16384" width="8.88671875" style="63"/>
  </cols>
  <sheetData>
    <row r="1" spans="1:19" ht="24.75" customHeight="1" x14ac:dyDescent="0.3">
      <c r="A1" s="142" t="s">
        <v>20</v>
      </c>
      <c r="B1" s="132"/>
      <c r="C1" s="132"/>
      <c r="D1" s="132"/>
      <c r="E1" s="132"/>
      <c r="F1" s="132"/>
      <c r="G1" s="132"/>
      <c r="H1" s="132"/>
      <c r="I1" s="132"/>
      <c r="J1" s="132"/>
      <c r="K1" s="132"/>
      <c r="L1" s="132"/>
      <c r="M1" s="132"/>
      <c r="N1" s="132"/>
      <c r="O1" s="132"/>
      <c r="P1" s="132"/>
      <c r="Q1" s="132"/>
      <c r="R1" s="132"/>
      <c r="S1" s="132"/>
    </row>
    <row r="2" spans="1:19" ht="13.8" customHeight="1" x14ac:dyDescent="0.3">
      <c r="A2" s="143" t="s">
        <v>23</v>
      </c>
      <c r="B2" s="132"/>
      <c r="C2" s="132"/>
      <c r="D2" s="132"/>
      <c r="E2" s="132"/>
      <c r="F2" s="132"/>
      <c r="G2" s="132"/>
      <c r="H2" s="132"/>
      <c r="I2" s="132"/>
      <c r="J2" s="132"/>
      <c r="K2" s="132"/>
      <c r="L2" s="132"/>
      <c r="M2" s="132"/>
      <c r="N2" s="132"/>
      <c r="O2" s="132"/>
      <c r="P2" s="132"/>
      <c r="Q2" s="132"/>
      <c r="R2" s="132"/>
      <c r="S2" s="132"/>
    </row>
    <row r="3" spans="1:19" ht="13.8" customHeight="1" x14ac:dyDescent="0.3">
      <c r="A3" s="143" t="s">
        <v>25</v>
      </c>
      <c r="B3" s="132"/>
      <c r="C3" s="132"/>
      <c r="D3" s="132"/>
      <c r="E3" s="132"/>
      <c r="F3" s="132"/>
      <c r="G3" s="132"/>
      <c r="H3" s="132"/>
      <c r="I3" s="132"/>
      <c r="J3" s="132"/>
      <c r="K3" s="132"/>
      <c r="L3" s="132"/>
      <c r="M3" s="132"/>
      <c r="N3" s="132"/>
      <c r="O3" s="132"/>
      <c r="P3" s="132"/>
      <c r="Q3" s="132"/>
      <c r="R3" s="132"/>
      <c r="S3" s="132"/>
    </row>
    <row r="4" spans="1:19" ht="27.15" customHeight="1" x14ac:dyDescent="0.3">
      <c r="A4" s="144" t="s">
        <v>381</v>
      </c>
      <c r="B4" s="132"/>
      <c r="C4" s="132"/>
      <c r="D4" s="132"/>
      <c r="E4" s="132"/>
      <c r="F4" s="132"/>
      <c r="G4" s="132"/>
      <c r="H4" s="132"/>
      <c r="I4" s="132"/>
      <c r="J4" s="132"/>
      <c r="K4" s="132"/>
      <c r="L4" s="132"/>
      <c r="M4" s="132"/>
      <c r="N4" s="132"/>
      <c r="O4" s="132"/>
      <c r="P4" s="132"/>
      <c r="Q4" s="132"/>
      <c r="R4" s="132"/>
      <c r="S4" s="132"/>
    </row>
    <row r="5" spans="1:19" x14ac:dyDescent="0.3">
      <c r="A5" s="131" t="s">
        <v>382</v>
      </c>
      <c r="B5" s="132"/>
      <c r="C5" s="135" t="s">
        <v>377</v>
      </c>
      <c r="D5" s="132"/>
      <c r="E5" s="132"/>
      <c r="F5" s="64" t="s">
        <v>1</v>
      </c>
      <c r="G5" s="64" t="s">
        <v>1</v>
      </c>
      <c r="H5" s="64" t="s">
        <v>1</v>
      </c>
      <c r="I5" s="64" t="s">
        <v>1</v>
      </c>
      <c r="J5" s="64" t="s">
        <v>1</v>
      </c>
      <c r="K5" s="64" t="s">
        <v>1</v>
      </c>
      <c r="L5" s="64" t="s">
        <v>1</v>
      </c>
      <c r="M5" s="64" t="s">
        <v>1</v>
      </c>
      <c r="N5" s="64" t="s">
        <v>207</v>
      </c>
      <c r="O5" s="141">
        <v>46040</v>
      </c>
      <c r="P5" s="132"/>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3.8" customHeight="1" x14ac:dyDescent="0.3">
      <c r="A7" s="131" t="s">
        <v>208</v>
      </c>
      <c r="B7" s="132"/>
      <c r="C7" s="135" t="s">
        <v>20</v>
      </c>
      <c r="D7" s="132"/>
      <c r="E7" s="132"/>
      <c r="F7" s="132"/>
      <c r="G7" s="132"/>
      <c r="H7" s="132"/>
      <c r="I7" s="132"/>
      <c r="J7" s="131" t="s">
        <v>209</v>
      </c>
      <c r="K7" s="132"/>
      <c r="L7" s="135" t="s">
        <v>54</v>
      </c>
      <c r="M7" s="132"/>
      <c r="N7" s="132"/>
      <c r="O7" s="132"/>
      <c r="P7" s="132"/>
      <c r="Q7" s="132"/>
      <c r="R7" s="132"/>
      <c r="S7" s="132"/>
    </row>
    <row r="8" spans="1:19" ht="21" customHeight="1" x14ac:dyDescent="0.3">
      <c r="A8" s="64" t="s">
        <v>1</v>
      </c>
      <c r="B8" s="64" t="s">
        <v>1</v>
      </c>
      <c r="C8" s="131" t="s">
        <v>23</v>
      </c>
      <c r="D8" s="132"/>
      <c r="E8" s="132"/>
      <c r="F8" s="132"/>
      <c r="G8" s="132"/>
      <c r="H8" s="132"/>
      <c r="I8" s="132"/>
      <c r="J8" s="64" t="s">
        <v>1</v>
      </c>
      <c r="K8" s="64" t="s">
        <v>1</v>
      </c>
      <c r="L8" s="131" t="s">
        <v>57</v>
      </c>
      <c r="M8" s="132"/>
      <c r="N8" s="132"/>
      <c r="O8" s="132"/>
      <c r="P8" s="132"/>
      <c r="Q8" s="132"/>
      <c r="R8" s="132"/>
      <c r="S8" s="132"/>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3.8" customHeight="1" x14ac:dyDescent="0.3">
      <c r="A10" s="131" t="s">
        <v>210</v>
      </c>
      <c r="B10" s="132"/>
      <c r="C10" s="135" t="s">
        <v>30</v>
      </c>
      <c r="D10" s="132"/>
      <c r="E10" s="132"/>
      <c r="F10" s="132"/>
      <c r="G10" s="132"/>
      <c r="H10" s="132"/>
      <c r="I10" s="132"/>
      <c r="J10" s="131" t="s">
        <v>211</v>
      </c>
      <c r="K10" s="132"/>
      <c r="L10" s="135" t="s">
        <v>212</v>
      </c>
      <c r="M10" s="132"/>
      <c r="N10" s="132"/>
      <c r="O10" s="132"/>
      <c r="P10" s="132"/>
      <c r="Q10" s="132"/>
      <c r="R10" s="132"/>
      <c r="S10" s="132"/>
    </row>
    <row r="11" spans="1:19" ht="28.05" customHeight="1" x14ac:dyDescent="0.3">
      <c r="A11" s="64" t="s">
        <v>1</v>
      </c>
      <c r="B11" s="64" t="s">
        <v>1</v>
      </c>
      <c r="C11" s="131" t="s">
        <v>33</v>
      </c>
      <c r="D11" s="132"/>
      <c r="E11" s="132"/>
      <c r="F11" s="132"/>
      <c r="G11" s="132"/>
      <c r="H11" s="132"/>
      <c r="I11" s="132"/>
      <c r="J11" s="64" t="s">
        <v>1</v>
      </c>
      <c r="K11" s="64" t="s">
        <v>1</v>
      </c>
      <c r="L11" s="131" t="s">
        <v>213</v>
      </c>
      <c r="M11" s="132"/>
      <c r="N11" s="132"/>
      <c r="O11" s="132"/>
      <c r="P11" s="132"/>
      <c r="Q11" s="132"/>
      <c r="R11" s="132"/>
      <c r="S11" s="132"/>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33" customHeight="1" x14ac:dyDescent="0.3">
      <c r="A13" s="131"/>
      <c r="B13" s="132"/>
      <c r="C13" s="131"/>
      <c r="D13" s="132"/>
      <c r="E13" s="132"/>
      <c r="F13" s="132"/>
      <c r="G13" s="132"/>
      <c r="H13" s="132"/>
      <c r="I13" s="132"/>
      <c r="J13" s="64" t="s">
        <v>1</v>
      </c>
      <c r="K13" s="64" t="s">
        <v>1</v>
      </c>
      <c r="L13" s="64" t="s">
        <v>1</v>
      </c>
      <c r="M13" s="64" t="s">
        <v>1</v>
      </c>
      <c r="N13" s="64" t="s">
        <v>1</v>
      </c>
      <c r="O13" s="64" t="s">
        <v>1</v>
      </c>
      <c r="P13" s="64" t="s">
        <v>1</v>
      </c>
      <c r="Q13" s="64" t="s">
        <v>1</v>
      </c>
      <c r="R13" s="64" t="s">
        <v>1</v>
      </c>
      <c r="S13" s="64" t="s">
        <v>1</v>
      </c>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54.6" x14ac:dyDescent="0.3">
      <c r="A15" s="20" t="s">
        <v>215</v>
      </c>
      <c r="B15" s="20" t="s">
        <v>216</v>
      </c>
      <c r="C15" s="20" t="s">
        <v>217</v>
      </c>
      <c r="D15" s="20" t="s">
        <v>218</v>
      </c>
      <c r="E15" s="20" t="s">
        <v>219</v>
      </c>
      <c r="F15" s="20" t="s">
        <v>220</v>
      </c>
      <c r="G15" s="20" t="s">
        <v>221</v>
      </c>
      <c r="H15" s="20" t="s">
        <v>222</v>
      </c>
      <c r="I15" s="20" t="s">
        <v>223</v>
      </c>
      <c r="J15" s="20" t="s">
        <v>224</v>
      </c>
      <c r="K15" s="73" t="s">
        <v>383</v>
      </c>
      <c r="L15" s="20"/>
      <c r="M15" s="20" t="s">
        <v>227</v>
      </c>
      <c r="N15" s="20" t="s">
        <v>228</v>
      </c>
      <c r="O15" s="20" t="s">
        <v>229</v>
      </c>
      <c r="P15" s="20" t="s">
        <v>230</v>
      </c>
      <c r="Q15" s="20" t="s">
        <v>231</v>
      </c>
      <c r="R15" s="20" t="s">
        <v>232</v>
      </c>
      <c r="S15" s="20" t="s">
        <v>233</v>
      </c>
    </row>
    <row r="16" spans="1:19" ht="58.8" x14ac:dyDescent="0.3">
      <c r="A16" s="71">
        <v>1</v>
      </c>
      <c r="B16" s="71" t="s">
        <v>234</v>
      </c>
      <c r="C16" s="71" t="s">
        <v>235</v>
      </c>
      <c r="D16" s="71" t="s">
        <v>236</v>
      </c>
      <c r="E16" s="71" t="s">
        <v>140</v>
      </c>
      <c r="F16" s="71" t="s">
        <v>140</v>
      </c>
      <c r="G16" s="71" t="s">
        <v>173</v>
      </c>
      <c r="H16" s="71" t="s">
        <v>237</v>
      </c>
      <c r="I16" s="71">
        <v>221</v>
      </c>
      <c r="J16" s="71" t="s">
        <v>238</v>
      </c>
      <c r="K16" s="74">
        <v>46125</v>
      </c>
      <c r="L16" s="71"/>
      <c r="M16" s="71">
        <v>3.49</v>
      </c>
      <c r="N16" s="71">
        <v>771.29</v>
      </c>
      <c r="O16" s="71">
        <v>0</v>
      </c>
      <c r="P16" s="71">
        <v>3.49</v>
      </c>
      <c r="Q16" s="71">
        <v>771.29</v>
      </c>
      <c r="R16" s="18" t="s">
        <v>141</v>
      </c>
      <c r="S16" s="18" t="s">
        <v>30</v>
      </c>
    </row>
    <row r="17" spans="1:19" ht="58.8" x14ac:dyDescent="0.3">
      <c r="A17" s="71">
        <v>2</v>
      </c>
      <c r="B17" s="71" t="s">
        <v>239</v>
      </c>
      <c r="C17" s="71" t="s">
        <v>240</v>
      </c>
      <c r="D17" s="71" t="s">
        <v>236</v>
      </c>
      <c r="E17" s="71" t="s">
        <v>140</v>
      </c>
      <c r="F17" s="71" t="s">
        <v>140</v>
      </c>
      <c r="G17" s="71" t="s">
        <v>173</v>
      </c>
      <c r="H17" s="71" t="s">
        <v>237</v>
      </c>
      <c r="I17" s="71">
        <v>259</v>
      </c>
      <c r="J17" s="71" t="s">
        <v>238</v>
      </c>
      <c r="K17" s="74">
        <v>46125</v>
      </c>
      <c r="L17" s="71"/>
      <c r="M17" s="71">
        <v>3.49</v>
      </c>
      <c r="N17" s="71">
        <v>903.91</v>
      </c>
      <c r="O17" s="71">
        <v>0</v>
      </c>
      <c r="P17" s="71">
        <v>3.49</v>
      </c>
      <c r="Q17" s="71">
        <v>903.91</v>
      </c>
      <c r="R17" s="18" t="s">
        <v>141</v>
      </c>
      <c r="S17" s="18" t="s">
        <v>30</v>
      </c>
    </row>
    <row r="18" spans="1:19" ht="58.8" x14ac:dyDescent="0.3">
      <c r="A18" s="71">
        <v>3</v>
      </c>
      <c r="B18" s="71" t="s">
        <v>239</v>
      </c>
      <c r="C18" s="71" t="s">
        <v>241</v>
      </c>
      <c r="D18" s="71" t="s">
        <v>236</v>
      </c>
      <c r="E18" s="71" t="s">
        <v>140</v>
      </c>
      <c r="F18" s="71" t="s">
        <v>140</v>
      </c>
      <c r="G18" s="71" t="s">
        <v>173</v>
      </c>
      <c r="H18" s="71" t="s">
        <v>237</v>
      </c>
      <c r="I18" s="71">
        <v>345</v>
      </c>
      <c r="J18" s="71" t="s">
        <v>238</v>
      </c>
      <c r="K18" s="74">
        <v>46125</v>
      </c>
      <c r="L18" s="71"/>
      <c r="M18" s="71">
        <v>3.49</v>
      </c>
      <c r="N18" s="71">
        <v>1204.05</v>
      </c>
      <c r="O18" s="71">
        <v>0</v>
      </c>
      <c r="P18" s="71">
        <v>3.49</v>
      </c>
      <c r="Q18" s="71">
        <v>1204.05</v>
      </c>
      <c r="R18" s="18" t="s">
        <v>141</v>
      </c>
      <c r="S18" s="18" t="s">
        <v>30</v>
      </c>
    </row>
    <row r="19" spans="1:19" ht="58.8" x14ac:dyDescent="0.3">
      <c r="A19" s="71">
        <v>4</v>
      </c>
      <c r="B19" s="71" t="s">
        <v>239</v>
      </c>
      <c r="C19" s="71" t="s">
        <v>242</v>
      </c>
      <c r="D19" s="71" t="s">
        <v>236</v>
      </c>
      <c r="E19" s="71" t="s">
        <v>140</v>
      </c>
      <c r="F19" s="71" t="s">
        <v>140</v>
      </c>
      <c r="G19" s="71" t="s">
        <v>173</v>
      </c>
      <c r="H19" s="71" t="s">
        <v>237</v>
      </c>
      <c r="I19" s="71">
        <v>414</v>
      </c>
      <c r="J19" s="71" t="s">
        <v>238</v>
      </c>
      <c r="K19" s="74">
        <v>46125</v>
      </c>
      <c r="L19" s="71"/>
      <c r="M19" s="71">
        <v>3.49</v>
      </c>
      <c r="N19" s="71">
        <v>1444.86</v>
      </c>
      <c r="O19" s="71">
        <v>0</v>
      </c>
      <c r="P19" s="71">
        <v>3.49</v>
      </c>
      <c r="Q19" s="71">
        <v>1444.86</v>
      </c>
      <c r="R19" s="18" t="s">
        <v>141</v>
      </c>
      <c r="S19" s="18" t="s">
        <v>30</v>
      </c>
    </row>
    <row r="20" spans="1:19" ht="58.8" x14ac:dyDescent="0.3">
      <c r="A20" s="71">
        <v>5</v>
      </c>
      <c r="B20" s="71" t="s">
        <v>239</v>
      </c>
      <c r="C20" s="71" t="s">
        <v>243</v>
      </c>
      <c r="D20" s="71" t="s">
        <v>236</v>
      </c>
      <c r="E20" s="71" t="s">
        <v>140</v>
      </c>
      <c r="F20" s="71" t="s">
        <v>140</v>
      </c>
      <c r="G20" s="71" t="s">
        <v>173</v>
      </c>
      <c r="H20" s="71" t="s">
        <v>237</v>
      </c>
      <c r="I20" s="71">
        <v>209</v>
      </c>
      <c r="J20" s="71" t="s">
        <v>238</v>
      </c>
      <c r="K20" s="74">
        <v>46125</v>
      </c>
      <c r="L20" s="71"/>
      <c r="M20" s="71">
        <v>3.49</v>
      </c>
      <c r="N20" s="71">
        <v>729.41</v>
      </c>
      <c r="O20" s="71">
        <v>0</v>
      </c>
      <c r="P20" s="71">
        <v>3.49</v>
      </c>
      <c r="Q20" s="71">
        <v>729.41</v>
      </c>
      <c r="R20" s="18" t="s">
        <v>141</v>
      </c>
      <c r="S20" s="18" t="s">
        <v>30</v>
      </c>
    </row>
    <row r="21" spans="1:19" ht="58.8" x14ac:dyDescent="0.3">
      <c r="A21" s="71">
        <v>6</v>
      </c>
      <c r="B21" s="71" t="s">
        <v>239</v>
      </c>
      <c r="C21" s="71" t="s">
        <v>244</v>
      </c>
      <c r="D21" s="71" t="s">
        <v>236</v>
      </c>
      <c r="E21" s="71" t="s">
        <v>140</v>
      </c>
      <c r="F21" s="71" t="s">
        <v>140</v>
      </c>
      <c r="G21" s="71" t="s">
        <v>173</v>
      </c>
      <c r="H21" s="71" t="s">
        <v>237</v>
      </c>
      <c r="I21" s="71">
        <v>242</v>
      </c>
      <c r="J21" s="71" t="s">
        <v>238</v>
      </c>
      <c r="K21" s="74">
        <v>46125</v>
      </c>
      <c r="L21" s="71"/>
      <c r="M21" s="71">
        <v>3.49</v>
      </c>
      <c r="N21" s="71">
        <v>844.58</v>
      </c>
      <c r="O21" s="71">
        <v>0</v>
      </c>
      <c r="P21" s="71">
        <v>3.49</v>
      </c>
      <c r="Q21" s="71">
        <v>844.58</v>
      </c>
      <c r="R21" s="18" t="s">
        <v>141</v>
      </c>
      <c r="S21" s="18" t="s">
        <v>30</v>
      </c>
    </row>
    <row r="22" spans="1:19" ht="58.8" x14ac:dyDescent="0.3">
      <c r="A22" s="71">
        <v>7</v>
      </c>
      <c r="B22" s="71" t="s">
        <v>245</v>
      </c>
      <c r="C22" s="71" t="s">
        <v>235</v>
      </c>
      <c r="D22" s="71" t="s">
        <v>246</v>
      </c>
      <c r="E22" s="71" t="s">
        <v>153</v>
      </c>
      <c r="F22" s="71" t="s">
        <v>153</v>
      </c>
      <c r="G22" s="71" t="s">
        <v>174</v>
      </c>
      <c r="H22" s="71" t="s">
        <v>247</v>
      </c>
      <c r="I22" s="71">
        <v>435</v>
      </c>
      <c r="J22" s="71" t="s">
        <v>238</v>
      </c>
      <c r="K22" s="74">
        <v>46125</v>
      </c>
      <c r="L22" s="71"/>
      <c r="M22" s="71">
        <v>1.2</v>
      </c>
      <c r="N22" s="71">
        <v>522</v>
      </c>
      <c r="O22" s="71">
        <v>0</v>
      </c>
      <c r="P22" s="71">
        <v>1.2</v>
      </c>
      <c r="Q22" s="71">
        <v>522</v>
      </c>
      <c r="R22" s="18" t="s">
        <v>141</v>
      </c>
      <c r="S22" s="18" t="s">
        <v>30</v>
      </c>
    </row>
    <row r="23" spans="1:19" ht="58.8" x14ac:dyDescent="0.3">
      <c r="A23" s="71">
        <v>8</v>
      </c>
      <c r="B23" s="71" t="s">
        <v>248</v>
      </c>
      <c r="C23" s="71" t="s">
        <v>240</v>
      </c>
      <c r="D23" s="71" t="s">
        <v>246</v>
      </c>
      <c r="E23" s="71" t="s">
        <v>153</v>
      </c>
      <c r="F23" s="71" t="s">
        <v>153</v>
      </c>
      <c r="G23" s="71" t="s">
        <v>174</v>
      </c>
      <c r="H23" s="71" t="s">
        <v>247</v>
      </c>
      <c r="I23" s="71">
        <v>609</v>
      </c>
      <c r="J23" s="71" t="s">
        <v>238</v>
      </c>
      <c r="K23" s="74">
        <v>46125</v>
      </c>
      <c r="L23" s="71"/>
      <c r="M23" s="71">
        <v>1.2</v>
      </c>
      <c r="N23" s="71">
        <v>730.8</v>
      </c>
      <c r="O23" s="71">
        <v>0</v>
      </c>
      <c r="P23" s="71">
        <v>1.2</v>
      </c>
      <c r="Q23" s="71">
        <v>730.8</v>
      </c>
      <c r="R23" s="18" t="s">
        <v>141</v>
      </c>
      <c r="S23" s="18" t="s">
        <v>30</v>
      </c>
    </row>
    <row r="24" spans="1:19" ht="58.8" x14ac:dyDescent="0.3">
      <c r="A24" s="71">
        <v>9</v>
      </c>
      <c r="B24" s="71" t="s">
        <v>248</v>
      </c>
      <c r="C24" s="71" t="s">
        <v>241</v>
      </c>
      <c r="D24" s="71" t="s">
        <v>246</v>
      </c>
      <c r="E24" s="71" t="s">
        <v>153</v>
      </c>
      <c r="F24" s="71" t="s">
        <v>153</v>
      </c>
      <c r="G24" s="71" t="s">
        <v>174</v>
      </c>
      <c r="H24" s="71" t="s">
        <v>247</v>
      </c>
      <c r="I24" s="71">
        <v>1045</v>
      </c>
      <c r="J24" s="71" t="s">
        <v>238</v>
      </c>
      <c r="K24" s="74">
        <v>46125</v>
      </c>
      <c r="L24" s="71"/>
      <c r="M24" s="71">
        <v>1.2</v>
      </c>
      <c r="N24" s="71">
        <v>1254</v>
      </c>
      <c r="O24" s="71">
        <v>0</v>
      </c>
      <c r="P24" s="71">
        <v>1.2</v>
      </c>
      <c r="Q24" s="71">
        <v>1254</v>
      </c>
      <c r="R24" s="18" t="s">
        <v>141</v>
      </c>
      <c r="S24" s="18" t="s">
        <v>30</v>
      </c>
    </row>
    <row r="25" spans="1:19" ht="58.8" x14ac:dyDescent="0.3">
      <c r="A25" s="71">
        <v>10</v>
      </c>
      <c r="B25" s="71" t="s">
        <v>248</v>
      </c>
      <c r="C25" s="71" t="s">
        <v>242</v>
      </c>
      <c r="D25" s="71" t="s">
        <v>246</v>
      </c>
      <c r="E25" s="71" t="s">
        <v>153</v>
      </c>
      <c r="F25" s="71" t="s">
        <v>153</v>
      </c>
      <c r="G25" s="71" t="s">
        <v>174</v>
      </c>
      <c r="H25" s="71" t="s">
        <v>247</v>
      </c>
      <c r="I25" s="71">
        <v>914</v>
      </c>
      <c r="J25" s="71" t="s">
        <v>238</v>
      </c>
      <c r="K25" s="74">
        <v>46125</v>
      </c>
      <c r="L25" s="71"/>
      <c r="M25" s="71">
        <v>1.2</v>
      </c>
      <c r="N25" s="71">
        <v>1096.8</v>
      </c>
      <c r="O25" s="71">
        <v>0</v>
      </c>
      <c r="P25" s="71">
        <v>1.2</v>
      </c>
      <c r="Q25" s="71">
        <v>1096.8</v>
      </c>
      <c r="R25" s="18" t="s">
        <v>141</v>
      </c>
      <c r="S25" s="18" t="s">
        <v>30</v>
      </c>
    </row>
    <row r="26" spans="1:19" ht="58.8" x14ac:dyDescent="0.3">
      <c r="A26" s="71">
        <v>11</v>
      </c>
      <c r="B26" s="71" t="s">
        <v>248</v>
      </c>
      <c r="C26" s="71" t="s">
        <v>243</v>
      </c>
      <c r="D26" s="71" t="s">
        <v>246</v>
      </c>
      <c r="E26" s="71" t="s">
        <v>153</v>
      </c>
      <c r="F26" s="71" t="s">
        <v>153</v>
      </c>
      <c r="G26" s="71" t="s">
        <v>174</v>
      </c>
      <c r="H26" s="71" t="s">
        <v>247</v>
      </c>
      <c r="I26" s="71">
        <v>784</v>
      </c>
      <c r="J26" s="71" t="s">
        <v>238</v>
      </c>
      <c r="K26" s="74">
        <v>46125</v>
      </c>
      <c r="L26" s="71"/>
      <c r="M26" s="71">
        <v>1.2</v>
      </c>
      <c r="N26" s="71">
        <v>940.8</v>
      </c>
      <c r="O26" s="71">
        <v>0</v>
      </c>
      <c r="P26" s="71">
        <v>1.2</v>
      </c>
      <c r="Q26" s="71">
        <v>940.8</v>
      </c>
      <c r="R26" s="18" t="s">
        <v>141</v>
      </c>
      <c r="S26" s="18" t="s">
        <v>30</v>
      </c>
    </row>
    <row r="27" spans="1:19" ht="58.8" x14ac:dyDescent="0.3">
      <c r="A27" s="71">
        <v>12</v>
      </c>
      <c r="B27" s="71" t="s">
        <v>248</v>
      </c>
      <c r="C27" s="71" t="s">
        <v>244</v>
      </c>
      <c r="D27" s="71" t="s">
        <v>246</v>
      </c>
      <c r="E27" s="71" t="s">
        <v>153</v>
      </c>
      <c r="F27" s="71" t="s">
        <v>153</v>
      </c>
      <c r="G27" s="71" t="s">
        <v>174</v>
      </c>
      <c r="H27" s="71" t="s">
        <v>247</v>
      </c>
      <c r="I27" s="71">
        <v>566</v>
      </c>
      <c r="J27" s="71" t="s">
        <v>238</v>
      </c>
      <c r="K27" s="74">
        <v>46125</v>
      </c>
      <c r="L27" s="71"/>
      <c r="M27" s="71">
        <v>1.2</v>
      </c>
      <c r="N27" s="71">
        <v>679.2</v>
      </c>
      <c r="O27" s="71">
        <v>0</v>
      </c>
      <c r="P27" s="71">
        <v>1.2</v>
      </c>
      <c r="Q27" s="71">
        <v>679.2</v>
      </c>
      <c r="R27" s="18" t="s">
        <v>141</v>
      </c>
      <c r="S27" s="18" t="s">
        <v>30</v>
      </c>
    </row>
    <row r="28" spans="1:19" ht="19.2" x14ac:dyDescent="0.3">
      <c r="A28" s="136" t="s">
        <v>249</v>
      </c>
      <c r="B28" s="137"/>
      <c r="C28" s="137"/>
      <c r="D28" s="32" t="s">
        <v>1</v>
      </c>
      <c r="E28" s="32" t="s">
        <v>1</v>
      </c>
      <c r="F28" s="32" t="s">
        <v>1</v>
      </c>
      <c r="G28" s="32" t="s">
        <v>1</v>
      </c>
      <c r="H28" s="32" t="s">
        <v>1</v>
      </c>
      <c r="I28" s="70">
        <v>6043</v>
      </c>
      <c r="J28" s="32" t="s">
        <v>1</v>
      </c>
      <c r="K28" s="76">
        <v>46125</v>
      </c>
      <c r="L28" s="32"/>
      <c r="M28" s="32" t="s">
        <v>1</v>
      </c>
      <c r="N28" s="70">
        <v>11121.7</v>
      </c>
      <c r="O28" s="32" t="s">
        <v>1</v>
      </c>
      <c r="P28" s="70" t="s">
        <v>250</v>
      </c>
      <c r="Q28" s="70">
        <v>11121.7</v>
      </c>
      <c r="R28" s="32" t="s">
        <v>1</v>
      </c>
      <c r="S28" s="32" t="s">
        <v>1</v>
      </c>
    </row>
    <row r="29" spans="1:19" ht="13.8" customHeight="1" x14ac:dyDescent="0.3">
      <c r="A29" s="138" t="s">
        <v>251</v>
      </c>
      <c r="B29" s="139"/>
      <c r="C29" s="139"/>
      <c r="D29" s="139"/>
      <c r="E29" s="139"/>
      <c r="F29" s="139"/>
      <c r="G29" s="139"/>
      <c r="H29" s="139"/>
      <c r="I29" s="139"/>
      <c r="J29" s="139"/>
      <c r="K29" s="139"/>
      <c r="L29" s="139"/>
      <c r="M29" s="139"/>
      <c r="N29" s="139"/>
      <c r="O29" s="139"/>
      <c r="P29" s="139"/>
      <c r="Q29" s="139"/>
      <c r="R29" s="139"/>
      <c r="S29" s="140"/>
    </row>
    <row r="30" spans="1:19" x14ac:dyDescent="0.3">
      <c r="A30" s="65" t="s">
        <v>1</v>
      </c>
      <c r="B30" s="65" t="s">
        <v>1</v>
      </c>
      <c r="C30" s="65" t="s">
        <v>1</v>
      </c>
      <c r="D30" s="64" t="s">
        <v>1</v>
      </c>
      <c r="E30" s="64" t="s">
        <v>1</v>
      </c>
      <c r="F30" s="64" t="s">
        <v>1</v>
      </c>
      <c r="G30" s="64" t="s">
        <v>1</v>
      </c>
      <c r="H30" s="64" t="s">
        <v>1</v>
      </c>
      <c r="I30" s="64" t="s">
        <v>1</v>
      </c>
      <c r="J30" s="131" t="s">
        <v>252</v>
      </c>
      <c r="K30" s="132"/>
      <c r="L30" s="135" t="s">
        <v>6</v>
      </c>
      <c r="M30" s="132"/>
      <c r="N30" s="132"/>
      <c r="O30" s="64" t="s">
        <v>207</v>
      </c>
      <c r="P30" s="141">
        <v>41990</v>
      </c>
      <c r="Q30" s="132"/>
      <c r="R30" s="64" t="s">
        <v>1</v>
      </c>
      <c r="S30" s="64" t="s">
        <v>1</v>
      </c>
    </row>
    <row r="31" spans="1:19" x14ac:dyDescent="0.3">
      <c r="A31" s="131" t="s">
        <v>253</v>
      </c>
      <c r="B31" s="132"/>
      <c r="C31" s="131" t="s">
        <v>50</v>
      </c>
      <c r="D31" s="132"/>
      <c r="E31" s="132"/>
      <c r="F31" s="132"/>
      <c r="G31" s="132"/>
      <c r="H31" s="132"/>
      <c r="I31" s="132"/>
      <c r="J31" s="64" t="s">
        <v>1</v>
      </c>
      <c r="K31" s="64" t="s">
        <v>1</v>
      </c>
      <c r="L31" s="64" t="s">
        <v>1</v>
      </c>
      <c r="M31" s="64" t="s">
        <v>1</v>
      </c>
      <c r="N31" s="64" t="s">
        <v>1</v>
      </c>
      <c r="O31" s="64" t="s">
        <v>1</v>
      </c>
      <c r="P31" s="64" t="s">
        <v>1</v>
      </c>
      <c r="Q31" s="64" t="s">
        <v>1</v>
      </c>
      <c r="R31" s="64" t="s">
        <v>1</v>
      </c>
      <c r="S31" s="64" t="s">
        <v>1</v>
      </c>
    </row>
    <row r="32" spans="1:19" ht="13.65" customHeight="1" x14ac:dyDescent="0.3">
      <c r="A32" s="131" t="s">
        <v>254</v>
      </c>
      <c r="B32" s="132"/>
      <c r="C32" s="131" t="s">
        <v>10</v>
      </c>
      <c r="D32" s="132"/>
      <c r="E32" s="132"/>
      <c r="F32" s="132"/>
      <c r="G32" s="132"/>
      <c r="H32" s="132"/>
      <c r="I32" s="132"/>
      <c r="J32" s="131" t="s">
        <v>255</v>
      </c>
      <c r="K32" s="132"/>
      <c r="L32" s="131" t="s">
        <v>13</v>
      </c>
      <c r="M32" s="132"/>
      <c r="N32" s="132"/>
      <c r="O32" s="132"/>
      <c r="P32" s="132"/>
      <c r="Q32" s="132"/>
      <c r="R32" s="132"/>
      <c r="S32" s="132"/>
    </row>
    <row r="33" spans="1:19" x14ac:dyDescent="0.3">
      <c r="A33" s="64" t="s">
        <v>1</v>
      </c>
      <c r="B33" s="64" t="s">
        <v>1</v>
      </c>
      <c r="C33" s="64" t="s">
        <v>1</v>
      </c>
      <c r="D33" s="64" t="s">
        <v>1</v>
      </c>
      <c r="E33" s="64" t="s">
        <v>1</v>
      </c>
      <c r="F33" s="64" t="s">
        <v>1</v>
      </c>
      <c r="G33" s="64" t="s">
        <v>1</v>
      </c>
      <c r="H33" s="64" t="s">
        <v>1</v>
      </c>
      <c r="I33" s="64" t="s">
        <v>1</v>
      </c>
      <c r="J33" s="64" t="s">
        <v>1</v>
      </c>
      <c r="K33" s="64" t="s">
        <v>1</v>
      </c>
      <c r="L33" s="64" t="s">
        <v>1</v>
      </c>
      <c r="M33" s="64" t="s">
        <v>1</v>
      </c>
      <c r="N33" s="64" t="s">
        <v>1</v>
      </c>
      <c r="O33" s="64" t="s">
        <v>1</v>
      </c>
      <c r="P33" s="64" t="s">
        <v>1</v>
      </c>
      <c r="Q33" s="64" t="s">
        <v>1</v>
      </c>
      <c r="R33" s="64" t="s">
        <v>1</v>
      </c>
      <c r="S33" s="64" t="s">
        <v>1</v>
      </c>
    </row>
    <row r="34" spans="1:19" x14ac:dyDescent="0.3">
      <c r="A34" s="134" t="s">
        <v>256</v>
      </c>
      <c r="B34" s="132"/>
      <c r="C34" s="132"/>
      <c r="D34" s="132"/>
      <c r="E34" s="64" t="s">
        <v>1</v>
      </c>
      <c r="F34" s="64" t="s">
        <v>1</v>
      </c>
      <c r="G34" s="64" t="s">
        <v>1</v>
      </c>
      <c r="H34" s="64" t="s">
        <v>1</v>
      </c>
      <c r="I34" s="64" t="s">
        <v>1</v>
      </c>
      <c r="J34" s="64" t="s">
        <v>1</v>
      </c>
      <c r="K34" s="64" t="s">
        <v>1</v>
      </c>
      <c r="L34" s="64" t="s">
        <v>1</v>
      </c>
      <c r="M34" s="64" t="s">
        <v>1</v>
      </c>
      <c r="N34" s="64" t="s">
        <v>1</v>
      </c>
      <c r="O34" s="64" t="s">
        <v>1</v>
      </c>
      <c r="P34" s="64" t="s">
        <v>1</v>
      </c>
      <c r="Q34" s="64" t="s">
        <v>1</v>
      </c>
      <c r="R34" s="64" t="s">
        <v>1</v>
      </c>
      <c r="S34" s="64" t="s">
        <v>1</v>
      </c>
    </row>
    <row r="35" spans="1:19" x14ac:dyDescent="0.3">
      <c r="A35" s="64" t="s">
        <v>1</v>
      </c>
      <c r="B35" s="65" t="s">
        <v>208</v>
      </c>
      <c r="C35" s="64" t="s">
        <v>1</v>
      </c>
      <c r="D35" s="64" t="s">
        <v>1</v>
      </c>
      <c r="E35" s="64" t="s">
        <v>1</v>
      </c>
      <c r="F35" s="64" t="s">
        <v>1</v>
      </c>
      <c r="G35" s="64" t="s">
        <v>1</v>
      </c>
      <c r="H35" s="64" t="s">
        <v>1</v>
      </c>
      <c r="I35" s="64" t="s">
        <v>1</v>
      </c>
      <c r="J35" s="64" t="s">
        <v>1</v>
      </c>
      <c r="K35" s="64" t="s">
        <v>1</v>
      </c>
      <c r="L35" s="135" t="s">
        <v>209</v>
      </c>
      <c r="M35" s="132"/>
      <c r="N35" s="64" t="s">
        <v>1</v>
      </c>
      <c r="O35" s="64" t="s">
        <v>1</v>
      </c>
      <c r="P35" s="64" t="s">
        <v>1</v>
      </c>
      <c r="Q35" s="64" t="s">
        <v>1</v>
      </c>
      <c r="R35" s="64" t="s">
        <v>1</v>
      </c>
      <c r="S35" s="64" t="s">
        <v>1</v>
      </c>
    </row>
    <row r="36" spans="1:19" ht="13.8" customHeight="1" x14ac:dyDescent="0.3">
      <c r="A36" s="131" t="s">
        <v>257</v>
      </c>
      <c r="B36" s="132"/>
      <c r="C36" s="131" t="s">
        <v>36</v>
      </c>
      <c r="D36" s="132"/>
      <c r="E36" s="132"/>
      <c r="F36" s="132"/>
      <c r="G36" s="132"/>
      <c r="H36" s="132"/>
      <c r="I36" s="132"/>
      <c r="J36" s="133" t="s">
        <v>257</v>
      </c>
      <c r="K36" s="132"/>
      <c r="L36" s="131" t="s">
        <v>62</v>
      </c>
      <c r="M36" s="132"/>
      <c r="N36" s="132"/>
      <c r="O36" s="132"/>
      <c r="P36" s="132"/>
      <c r="Q36" s="132"/>
      <c r="R36" s="132"/>
      <c r="S36" s="132"/>
    </row>
    <row r="37" spans="1:19" ht="13.8" customHeight="1" x14ac:dyDescent="0.3">
      <c r="A37" s="131" t="s">
        <v>258</v>
      </c>
      <c r="B37" s="132"/>
      <c r="C37" s="131" t="s">
        <v>42</v>
      </c>
      <c r="D37" s="132"/>
      <c r="E37" s="132"/>
      <c r="F37" s="132"/>
      <c r="G37" s="132"/>
      <c r="H37" s="132"/>
      <c r="I37" s="132"/>
      <c r="J37" s="133" t="s">
        <v>258</v>
      </c>
      <c r="K37" s="132"/>
      <c r="L37" s="131" t="s">
        <v>67</v>
      </c>
      <c r="M37" s="132"/>
      <c r="N37" s="132"/>
      <c r="O37" s="132"/>
      <c r="P37" s="132"/>
      <c r="Q37" s="132"/>
      <c r="R37" s="132"/>
      <c r="S37" s="132"/>
    </row>
    <row r="38" spans="1:19" ht="13.8" customHeight="1" x14ac:dyDescent="0.3">
      <c r="A38" s="131" t="s">
        <v>259</v>
      </c>
      <c r="B38" s="132"/>
      <c r="C38" s="131"/>
      <c r="D38" s="132"/>
      <c r="E38" s="132"/>
      <c r="F38" s="132"/>
      <c r="G38" s="132"/>
      <c r="H38" s="132"/>
      <c r="I38" s="132"/>
      <c r="J38" s="133" t="s">
        <v>259</v>
      </c>
      <c r="K38" s="132"/>
      <c r="L38" s="131"/>
      <c r="M38" s="132"/>
      <c r="N38" s="132"/>
      <c r="O38" s="132"/>
      <c r="P38" s="132"/>
      <c r="Q38" s="132"/>
      <c r="R38" s="132"/>
      <c r="S38" s="132"/>
    </row>
    <row r="39" spans="1:19" ht="22.8" customHeight="1" x14ac:dyDescent="0.3">
      <c r="A39" s="131" t="s">
        <v>260</v>
      </c>
      <c r="B39" s="132"/>
      <c r="C39" s="131" t="s">
        <v>38</v>
      </c>
      <c r="D39" s="132"/>
      <c r="E39" s="132"/>
      <c r="F39" s="132"/>
      <c r="G39" s="132"/>
      <c r="H39" s="132"/>
      <c r="I39" s="132"/>
      <c r="J39" s="133" t="s">
        <v>260</v>
      </c>
      <c r="K39" s="132"/>
      <c r="L39" s="131" t="s">
        <v>65</v>
      </c>
      <c r="M39" s="132"/>
      <c r="N39" s="132"/>
      <c r="O39" s="132"/>
      <c r="P39" s="132"/>
      <c r="Q39" s="132"/>
      <c r="R39" s="132"/>
      <c r="S39" s="132"/>
    </row>
    <row r="40" spans="1:19" x14ac:dyDescent="0.3">
      <c r="A40" s="64" t="s">
        <v>1</v>
      </c>
      <c r="B40" s="64" t="s">
        <v>1</v>
      </c>
      <c r="C40" s="64" t="s">
        <v>1</v>
      </c>
      <c r="D40" s="64" t="s">
        <v>1</v>
      </c>
      <c r="E40" s="64" t="s">
        <v>1</v>
      </c>
      <c r="F40" s="64" t="s">
        <v>1</v>
      </c>
      <c r="G40" s="64" t="s">
        <v>1</v>
      </c>
      <c r="H40" s="64" t="s">
        <v>1</v>
      </c>
      <c r="I40" s="64" t="s">
        <v>1</v>
      </c>
      <c r="J40" s="133" t="s">
        <v>261</v>
      </c>
      <c r="K40" s="132"/>
      <c r="L40" s="133"/>
      <c r="M40" s="132"/>
      <c r="N40" s="132"/>
      <c r="O40" s="132"/>
      <c r="P40" s="132"/>
      <c r="Q40" s="132"/>
      <c r="R40" s="132"/>
      <c r="S40" s="132"/>
    </row>
    <row r="41" spans="1:19" ht="13.8" customHeight="1" x14ac:dyDescent="0.3">
      <c r="A41" s="131" t="s">
        <v>262</v>
      </c>
      <c r="B41" s="132"/>
      <c r="C41" s="131" t="s">
        <v>20</v>
      </c>
      <c r="D41" s="132"/>
      <c r="E41" s="132"/>
      <c r="F41" s="132"/>
      <c r="G41" s="132"/>
      <c r="H41" s="132"/>
      <c r="I41" s="132"/>
      <c r="J41" s="133" t="s">
        <v>262</v>
      </c>
      <c r="K41" s="132"/>
      <c r="L41" s="131" t="s">
        <v>54</v>
      </c>
      <c r="M41" s="132"/>
      <c r="N41" s="132"/>
      <c r="O41" s="132"/>
      <c r="P41" s="132"/>
      <c r="Q41" s="132"/>
      <c r="R41" s="132"/>
      <c r="S41" s="132"/>
    </row>
    <row r="42" spans="1:19" ht="13.8" customHeight="1" x14ac:dyDescent="0.3">
      <c r="A42" s="131" t="s">
        <v>263</v>
      </c>
      <c r="B42" s="132"/>
      <c r="C42" s="131" t="s">
        <v>44</v>
      </c>
      <c r="D42" s="132"/>
      <c r="E42" s="132"/>
      <c r="F42" s="132"/>
      <c r="G42" s="132"/>
      <c r="H42" s="132"/>
      <c r="I42" s="132"/>
      <c r="J42" s="133" t="s">
        <v>264</v>
      </c>
      <c r="K42" s="132"/>
      <c r="L42" s="131" t="s">
        <v>69</v>
      </c>
      <c r="M42" s="132"/>
      <c r="N42" s="132"/>
      <c r="O42" s="132"/>
      <c r="P42" s="132"/>
      <c r="Q42" s="132"/>
      <c r="R42" s="132"/>
      <c r="S42" s="132"/>
    </row>
    <row r="43" spans="1:19" x14ac:dyDescent="0.3">
      <c r="A43" s="64" t="s">
        <v>1</v>
      </c>
      <c r="B43" s="64" t="s">
        <v>1</v>
      </c>
      <c r="C43" s="64" t="s">
        <v>1</v>
      </c>
      <c r="D43" s="64" t="s">
        <v>1</v>
      </c>
      <c r="E43" s="64" t="s">
        <v>1</v>
      </c>
      <c r="F43" s="64" t="s">
        <v>1</v>
      </c>
      <c r="G43" s="64" t="s">
        <v>1</v>
      </c>
      <c r="H43" s="64" t="s">
        <v>1</v>
      </c>
      <c r="I43" s="64" t="s">
        <v>1</v>
      </c>
      <c r="J43" s="133" t="s">
        <v>265</v>
      </c>
      <c r="K43" s="132"/>
      <c r="L43" s="131" t="s">
        <v>71</v>
      </c>
      <c r="M43" s="132"/>
      <c r="N43" s="132"/>
      <c r="O43" s="132"/>
      <c r="P43" s="132"/>
      <c r="Q43" s="132"/>
      <c r="R43" s="132"/>
      <c r="S43" s="132"/>
    </row>
    <row r="44" spans="1:19" ht="13.65" customHeight="1" x14ac:dyDescent="0.3">
      <c r="A44" s="131" t="s">
        <v>266</v>
      </c>
      <c r="B44" s="132"/>
      <c r="C44" s="131" t="s">
        <v>25</v>
      </c>
      <c r="D44" s="132"/>
      <c r="E44" s="132"/>
      <c r="F44" s="132"/>
      <c r="G44" s="132"/>
      <c r="H44" s="132"/>
      <c r="I44" s="132"/>
      <c r="J44" s="133" t="s">
        <v>266</v>
      </c>
      <c r="K44" s="132"/>
      <c r="L44" s="131" t="s">
        <v>60</v>
      </c>
      <c r="M44" s="132"/>
      <c r="N44" s="132"/>
      <c r="O44" s="132"/>
      <c r="P44" s="132"/>
      <c r="Q44" s="132"/>
      <c r="R44" s="132"/>
      <c r="S44" s="132"/>
    </row>
    <row r="45" spans="1:19" ht="13.8" customHeight="1" x14ac:dyDescent="0.3">
      <c r="A45" s="131" t="s">
        <v>267</v>
      </c>
      <c r="B45" s="132"/>
      <c r="C45" s="131" t="s">
        <v>23</v>
      </c>
      <c r="D45" s="132"/>
      <c r="E45" s="132"/>
      <c r="F45" s="132"/>
      <c r="G45" s="132"/>
      <c r="H45" s="132"/>
      <c r="I45" s="132"/>
      <c r="J45" s="133" t="s">
        <v>267</v>
      </c>
      <c r="K45" s="132"/>
      <c r="L45" s="131" t="s">
        <v>57</v>
      </c>
      <c r="M45" s="132"/>
      <c r="N45" s="132"/>
      <c r="O45" s="132"/>
      <c r="P45" s="132"/>
      <c r="Q45" s="132"/>
      <c r="R45" s="132"/>
      <c r="S45" s="132"/>
    </row>
    <row r="46" spans="1:19" ht="15" thickBot="1" x14ac:dyDescent="0.35">
      <c r="A46" s="131" t="s">
        <v>1</v>
      </c>
      <c r="B46" s="132"/>
      <c r="C46" s="132"/>
      <c r="D46" s="132"/>
      <c r="E46" s="132"/>
      <c r="F46" s="132"/>
      <c r="G46" s="132"/>
      <c r="H46" s="132"/>
      <c r="I46" s="132"/>
      <c r="J46" s="64" t="s">
        <v>1</v>
      </c>
      <c r="K46" s="131" t="s">
        <v>1</v>
      </c>
      <c r="L46" s="132"/>
      <c r="M46" s="132"/>
      <c r="N46" s="132"/>
      <c r="O46" s="132"/>
      <c r="P46" s="132"/>
      <c r="Q46" s="132"/>
      <c r="R46" s="132"/>
      <c r="S46" s="132"/>
    </row>
    <row r="47" spans="1:19" ht="15" thickTop="1" x14ac:dyDescent="0.3">
      <c r="A47" s="129" t="s">
        <v>208</v>
      </c>
      <c r="B47" s="130"/>
      <c r="C47" s="72" t="s">
        <v>1</v>
      </c>
      <c r="D47" s="72" t="s">
        <v>1</v>
      </c>
      <c r="E47" s="72" t="s">
        <v>1</v>
      </c>
      <c r="F47" s="72" t="s">
        <v>1</v>
      </c>
      <c r="G47" s="72" t="s">
        <v>1</v>
      </c>
      <c r="H47" s="64" t="s">
        <v>1</v>
      </c>
      <c r="I47" s="64" t="s">
        <v>1</v>
      </c>
      <c r="J47" s="64" t="s">
        <v>1</v>
      </c>
      <c r="K47" s="129" t="s">
        <v>209</v>
      </c>
      <c r="L47" s="130"/>
      <c r="M47" s="72" t="s">
        <v>1</v>
      </c>
      <c r="N47" s="72" t="s">
        <v>1</v>
      </c>
      <c r="O47" s="72" t="s">
        <v>1</v>
      </c>
      <c r="P47" s="72" t="s">
        <v>1</v>
      </c>
      <c r="Q47" s="72" t="s">
        <v>1</v>
      </c>
      <c r="R47" s="64" t="s">
        <v>1</v>
      </c>
      <c r="S47" s="64" t="s">
        <v>1</v>
      </c>
    </row>
    <row r="48" spans="1:19" x14ac:dyDescent="0.3">
      <c r="A48" s="131" t="s">
        <v>1</v>
      </c>
      <c r="B48" s="132"/>
      <c r="C48" s="132"/>
      <c r="D48" s="132"/>
      <c r="E48" s="132"/>
      <c r="F48" s="132"/>
      <c r="G48" s="132"/>
      <c r="H48" s="132"/>
      <c r="I48" s="132"/>
      <c r="J48" s="132"/>
      <c r="K48" s="132"/>
      <c r="L48" s="132"/>
      <c r="M48" s="132"/>
      <c r="N48" s="132"/>
      <c r="O48" s="132"/>
      <c r="P48" s="132"/>
      <c r="Q48" s="132"/>
      <c r="R48" s="64" t="s">
        <v>1</v>
      </c>
      <c r="S48" s="64" t="s">
        <v>1</v>
      </c>
    </row>
    <row r="49" spans="1:19" x14ac:dyDescent="0.3">
      <c r="A49" s="131" t="s">
        <v>268</v>
      </c>
      <c r="B49" s="132"/>
      <c r="C49" s="132"/>
      <c r="D49" s="132"/>
      <c r="E49" s="132"/>
      <c r="F49" s="132"/>
      <c r="G49" s="132"/>
      <c r="H49" s="132"/>
      <c r="I49" s="132"/>
      <c r="J49" s="132"/>
      <c r="K49" s="132"/>
      <c r="L49" s="132"/>
      <c r="M49" s="132"/>
      <c r="N49" s="132"/>
      <c r="O49" s="132"/>
      <c r="P49" s="132"/>
      <c r="Q49" s="132"/>
      <c r="R49" s="64" t="s">
        <v>1</v>
      </c>
      <c r="S49" s="64"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L32:S32"/>
    <mergeCell ref="A13:B13"/>
    <mergeCell ref="C13:I13"/>
    <mergeCell ref="A28:C28"/>
    <mergeCell ref="A29:S29"/>
    <mergeCell ref="J30:K30"/>
    <mergeCell ref="L30:N30"/>
    <mergeCell ref="P30:Q30"/>
    <mergeCell ref="A31:B31"/>
    <mergeCell ref="C31:I31"/>
    <mergeCell ref="A32:B32"/>
    <mergeCell ref="C32:I32"/>
    <mergeCell ref="J32:K32"/>
    <mergeCell ref="A34:D34"/>
    <mergeCell ref="L35:M35"/>
    <mergeCell ref="A36:B36"/>
    <mergeCell ref="C36:I36"/>
    <mergeCell ref="J36:K36"/>
    <mergeCell ref="L36:S36"/>
    <mergeCell ref="A37:B37"/>
    <mergeCell ref="C37:I37"/>
    <mergeCell ref="J37:K37"/>
    <mergeCell ref="L37:S37"/>
    <mergeCell ref="A38:B38"/>
    <mergeCell ref="C38:I38"/>
    <mergeCell ref="J38:K38"/>
    <mergeCell ref="L38:S38"/>
    <mergeCell ref="A39:B39"/>
    <mergeCell ref="C39:I39"/>
    <mergeCell ref="J39:K39"/>
    <mergeCell ref="L39:S39"/>
    <mergeCell ref="J40:K40"/>
    <mergeCell ref="L40:S40"/>
    <mergeCell ref="A41:B41"/>
    <mergeCell ref="C41:I41"/>
    <mergeCell ref="J41:K41"/>
    <mergeCell ref="L41:S41"/>
    <mergeCell ref="A42:B42"/>
    <mergeCell ref="C42:I42"/>
    <mergeCell ref="J42:K42"/>
    <mergeCell ref="L42:S42"/>
    <mergeCell ref="J43:K43"/>
    <mergeCell ref="L43:S43"/>
    <mergeCell ref="A44:B44"/>
    <mergeCell ref="C44:I44"/>
    <mergeCell ref="J44:K44"/>
    <mergeCell ref="L44:S44"/>
    <mergeCell ref="A47:B47"/>
    <mergeCell ref="K47:L47"/>
    <mergeCell ref="A48:Q48"/>
    <mergeCell ref="A49:Q49"/>
    <mergeCell ref="A45:B45"/>
    <mergeCell ref="C45:I45"/>
    <mergeCell ref="J45:K45"/>
    <mergeCell ref="L45:S45"/>
    <mergeCell ref="A46:I46"/>
    <mergeCell ref="K46:S46"/>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F8E9-85A8-4843-A435-BB6CADC5B449}">
  <dimension ref="A1:S48"/>
  <sheetViews>
    <sheetView showGridLines="0" topLeftCell="A34" workbookViewId="0">
      <selection activeCell="A47" sqref="A47:I47"/>
    </sheetView>
  </sheetViews>
  <sheetFormatPr defaultRowHeight="14.4" x14ac:dyDescent="0.3"/>
  <cols>
    <col min="1" max="1" width="3.6640625" style="63" customWidth="1"/>
    <col min="2" max="2" width="12.21875" style="63" customWidth="1"/>
    <col min="3" max="3" width="11.88671875" style="63" customWidth="1"/>
    <col min="4" max="4" width="9.5546875" style="63" customWidth="1"/>
    <col min="5" max="6" width="9.77734375" style="63" customWidth="1"/>
    <col min="7" max="9" width="6.5546875" style="63" customWidth="1"/>
    <col min="10" max="10" width="6.44140625" style="63" customWidth="1"/>
    <col min="11" max="11" width="8.77734375" style="63" customWidth="1"/>
    <col min="12" max="12" width="7.21875" style="63" customWidth="1"/>
    <col min="13" max="14" width="6.5546875" style="63" customWidth="1"/>
    <col min="15" max="15" width="5.6640625" style="63" customWidth="1"/>
    <col min="16" max="18" width="6.5546875" style="63" customWidth="1"/>
    <col min="19" max="19" width="9.77734375" style="63" customWidth="1"/>
    <col min="20" max="20" width="64.5546875" style="63" customWidth="1"/>
    <col min="21" max="16384" width="8.88671875" style="63"/>
  </cols>
  <sheetData>
    <row r="1" spans="1:19" ht="30.15" customHeight="1" x14ac:dyDescent="0.3">
      <c r="A1" s="142" t="s">
        <v>19</v>
      </c>
      <c r="B1" s="132"/>
      <c r="C1" s="132"/>
      <c r="D1" s="132"/>
      <c r="E1" s="132"/>
      <c r="F1" s="132"/>
      <c r="G1" s="132"/>
      <c r="H1" s="132"/>
      <c r="I1" s="132"/>
      <c r="J1" s="132"/>
      <c r="K1" s="132"/>
      <c r="L1" s="132"/>
      <c r="M1" s="132"/>
      <c r="N1" s="132"/>
      <c r="O1" s="132"/>
      <c r="P1" s="132"/>
      <c r="Q1" s="132"/>
      <c r="R1" s="132"/>
      <c r="S1" s="132"/>
    </row>
    <row r="2" spans="1:19" ht="14.55" customHeight="1" x14ac:dyDescent="0.3">
      <c r="A2" s="150" t="s">
        <v>22</v>
      </c>
      <c r="B2" s="132"/>
      <c r="C2" s="132"/>
      <c r="D2" s="132"/>
      <c r="E2" s="132"/>
      <c r="F2" s="132"/>
      <c r="G2" s="132"/>
      <c r="H2" s="132"/>
      <c r="I2" s="132"/>
      <c r="J2" s="132"/>
      <c r="K2" s="132"/>
      <c r="L2" s="132"/>
      <c r="M2" s="132"/>
      <c r="N2" s="132"/>
      <c r="O2" s="132"/>
      <c r="P2" s="132"/>
      <c r="Q2" s="132"/>
      <c r="R2" s="132"/>
      <c r="S2" s="132"/>
    </row>
    <row r="3" spans="1:19" ht="14.55" customHeight="1" x14ac:dyDescent="0.3">
      <c r="A3" s="150" t="s">
        <v>25</v>
      </c>
      <c r="B3" s="132"/>
      <c r="C3" s="132"/>
      <c r="D3" s="132"/>
      <c r="E3" s="132"/>
      <c r="F3" s="132"/>
      <c r="G3" s="132"/>
      <c r="H3" s="132"/>
      <c r="I3" s="132"/>
      <c r="J3" s="132"/>
      <c r="K3" s="132"/>
      <c r="L3" s="132"/>
      <c r="M3" s="132"/>
      <c r="N3" s="132"/>
      <c r="O3" s="132"/>
      <c r="P3" s="132"/>
      <c r="Q3" s="132"/>
      <c r="R3" s="132"/>
      <c r="S3" s="132"/>
    </row>
    <row r="4" spans="1:19" ht="28.65" customHeight="1" x14ac:dyDescent="0.3">
      <c r="A4" s="144" t="s">
        <v>378</v>
      </c>
      <c r="B4" s="132"/>
      <c r="C4" s="132"/>
      <c r="D4" s="132"/>
      <c r="E4" s="132"/>
      <c r="F4" s="132"/>
      <c r="G4" s="132"/>
      <c r="H4" s="132"/>
      <c r="I4" s="132"/>
      <c r="J4" s="132"/>
      <c r="K4" s="132"/>
      <c r="L4" s="132"/>
      <c r="M4" s="132"/>
      <c r="N4" s="132"/>
      <c r="O4" s="132"/>
      <c r="P4" s="132"/>
      <c r="Q4" s="132"/>
      <c r="R4" s="132"/>
      <c r="S4" s="132"/>
    </row>
    <row r="5" spans="1:19" x14ac:dyDescent="0.3">
      <c r="A5" s="131" t="s">
        <v>379</v>
      </c>
      <c r="B5" s="132"/>
      <c r="C5" s="135" t="s">
        <v>377</v>
      </c>
      <c r="D5" s="132"/>
      <c r="E5" s="132"/>
      <c r="F5" s="64" t="s">
        <v>1</v>
      </c>
      <c r="G5" s="64" t="s">
        <v>1</v>
      </c>
      <c r="H5" s="64" t="s">
        <v>1</v>
      </c>
      <c r="I5" s="64" t="s">
        <v>1</v>
      </c>
      <c r="J5" s="64" t="s">
        <v>1</v>
      </c>
      <c r="K5" s="64" t="s">
        <v>1</v>
      </c>
      <c r="L5" s="64" t="s">
        <v>1</v>
      </c>
      <c r="M5" s="64" t="s">
        <v>1</v>
      </c>
      <c r="N5" s="64" t="s">
        <v>157</v>
      </c>
      <c r="O5" s="141">
        <v>46040</v>
      </c>
      <c r="P5" s="132"/>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4.55" customHeight="1" x14ac:dyDescent="0.3">
      <c r="A7" s="131" t="s">
        <v>158</v>
      </c>
      <c r="B7" s="132"/>
      <c r="C7" s="135" t="s">
        <v>19</v>
      </c>
      <c r="D7" s="132"/>
      <c r="E7" s="132"/>
      <c r="F7" s="132"/>
      <c r="G7" s="132"/>
      <c r="H7" s="132"/>
      <c r="I7" s="132"/>
      <c r="J7" s="131" t="s">
        <v>159</v>
      </c>
      <c r="K7" s="132"/>
      <c r="L7" s="135" t="s">
        <v>53</v>
      </c>
      <c r="M7" s="132"/>
      <c r="N7" s="132"/>
      <c r="O7" s="132"/>
      <c r="P7" s="132"/>
      <c r="Q7" s="132"/>
      <c r="R7" s="132"/>
      <c r="S7" s="132"/>
    </row>
    <row r="8" spans="1:19" ht="28.05" customHeight="1" x14ac:dyDescent="0.3">
      <c r="A8" s="64" t="s">
        <v>1</v>
      </c>
      <c r="B8" s="64" t="s">
        <v>1</v>
      </c>
      <c r="C8" s="131" t="s">
        <v>22</v>
      </c>
      <c r="D8" s="132"/>
      <c r="E8" s="132"/>
      <c r="F8" s="132"/>
      <c r="G8" s="132"/>
      <c r="H8" s="132"/>
      <c r="I8" s="132"/>
      <c r="J8" s="64" t="s">
        <v>1</v>
      </c>
      <c r="K8" s="64" t="s">
        <v>1</v>
      </c>
      <c r="L8" s="131" t="s">
        <v>56</v>
      </c>
      <c r="M8" s="132"/>
      <c r="N8" s="132"/>
      <c r="O8" s="132"/>
      <c r="P8" s="132"/>
      <c r="Q8" s="132"/>
      <c r="R8" s="132"/>
      <c r="S8" s="132"/>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4.55" customHeight="1" x14ac:dyDescent="0.3">
      <c r="A10" s="131" t="s">
        <v>160</v>
      </c>
      <c r="B10" s="132"/>
      <c r="C10" s="135" t="s">
        <v>29</v>
      </c>
      <c r="D10" s="132"/>
      <c r="E10" s="132"/>
      <c r="F10" s="132"/>
      <c r="G10" s="132"/>
      <c r="H10" s="132"/>
      <c r="I10" s="132"/>
      <c r="J10" s="131" t="s">
        <v>161</v>
      </c>
      <c r="K10" s="132"/>
      <c r="L10" s="135" t="s">
        <v>53</v>
      </c>
      <c r="M10" s="132"/>
      <c r="N10" s="132"/>
      <c r="O10" s="132"/>
      <c r="P10" s="132"/>
      <c r="Q10" s="132"/>
      <c r="R10" s="132"/>
      <c r="S10" s="132"/>
    </row>
    <row r="11" spans="1:19" ht="22.95" customHeight="1" x14ac:dyDescent="0.3">
      <c r="A11" s="64" t="s">
        <v>1</v>
      </c>
      <c r="B11" s="64" t="s">
        <v>1</v>
      </c>
      <c r="C11" s="131" t="s">
        <v>32</v>
      </c>
      <c r="D11" s="132"/>
      <c r="E11" s="132"/>
      <c r="F11" s="132"/>
      <c r="G11" s="132"/>
      <c r="H11" s="132"/>
      <c r="I11" s="132"/>
      <c r="J11" s="64" t="s">
        <v>1</v>
      </c>
      <c r="K11" s="64" t="s">
        <v>1</v>
      </c>
      <c r="L11" s="131" t="s">
        <v>56</v>
      </c>
      <c r="M11" s="132"/>
      <c r="N11" s="132"/>
      <c r="O11" s="132"/>
      <c r="P11" s="132"/>
      <c r="Q11" s="132"/>
      <c r="R11" s="132"/>
      <c r="S11" s="132"/>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24" customHeight="1" x14ac:dyDescent="0.3">
      <c r="A13" s="131"/>
      <c r="B13" s="132"/>
      <c r="C13" s="131"/>
      <c r="D13" s="132"/>
      <c r="E13" s="132"/>
      <c r="F13" s="132"/>
      <c r="G13" s="132"/>
      <c r="H13" s="132"/>
      <c r="I13" s="132"/>
      <c r="J13" s="64"/>
      <c r="K13" s="64"/>
      <c r="L13" s="64"/>
      <c r="M13" s="64"/>
      <c r="N13" s="64"/>
      <c r="O13" s="64"/>
      <c r="P13" s="64"/>
      <c r="Q13" s="64"/>
      <c r="R13" s="64"/>
      <c r="S13" s="64"/>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54.6" x14ac:dyDescent="0.3">
      <c r="A15" s="20" t="s">
        <v>163</v>
      </c>
      <c r="B15" s="20" t="s">
        <v>114</v>
      </c>
      <c r="C15" s="20" t="s">
        <v>116</v>
      </c>
      <c r="D15" s="20" t="s">
        <v>115</v>
      </c>
      <c r="E15" s="20" t="s">
        <v>118</v>
      </c>
      <c r="F15" s="20" t="s">
        <v>164</v>
      </c>
      <c r="G15" s="20" t="s">
        <v>165</v>
      </c>
      <c r="H15" s="20" t="s">
        <v>117</v>
      </c>
      <c r="I15" s="20" t="s">
        <v>121</v>
      </c>
      <c r="J15" s="20" t="s">
        <v>166</v>
      </c>
      <c r="K15" s="73" t="s">
        <v>380</v>
      </c>
      <c r="L15" s="20"/>
      <c r="M15" s="20" t="s">
        <v>167</v>
      </c>
      <c r="N15" s="20" t="s">
        <v>168</v>
      </c>
      <c r="O15" s="20" t="s">
        <v>125</v>
      </c>
      <c r="P15" s="20" t="s">
        <v>169</v>
      </c>
      <c r="Q15" s="20" t="s">
        <v>170</v>
      </c>
      <c r="R15" s="20" t="s">
        <v>171</v>
      </c>
      <c r="S15" s="20" t="s">
        <v>172</v>
      </c>
    </row>
    <row r="16" spans="1:19" ht="67.2" x14ac:dyDescent="0.3">
      <c r="A16" s="71">
        <v>1</v>
      </c>
      <c r="B16" s="71" t="s">
        <v>136</v>
      </c>
      <c r="C16" s="71" t="s">
        <v>138</v>
      </c>
      <c r="D16" s="71" t="s">
        <v>137</v>
      </c>
      <c r="E16" s="71" t="s">
        <v>140</v>
      </c>
      <c r="F16" s="71" t="s">
        <v>140</v>
      </c>
      <c r="G16" s="71" t="s">
        <v>173</v>
      </c>
      <c r="H16" s="71" t="s">
        <v>139</v>
      </c>
      <c r="I16" s="71">
        <v>221</v>
      </c>
      <c r="J16" s="71" t="s">
        <v>142</v>
      </c>
      <c r="K16" s="74">
        <v>46125</v>
      </c>
      <c r="L16" s="71"/>
      <c r="M16" s="71">
        <v>3.49</v>
      </c>
      <c r="N16" s="71">
        <v>771.29</v>
      </c>
      <c r="O16" s="71">
        <v>0</v>
      </c>
      <c r="P16" s="71">
        <v>3.49</v>
      </c>
      <c r="Q16" s="71">
        <v>771.29</v>
      </c>
      <c r="R16" s="71" t="s">
        <v>141</v>
      </c>
      <c r="S16" s="71" t="s">
        <v>29</v>
      </c>
    </row>
    <row r="17" spans="1:19" ht="67.2" x14ac:dyDescent="0.3">
      <c r="A17" s="71">
        <v>2</v>
      </c>
      <c r="B17" s="71" t="s">
        <v>144</v>
      </c>
      <c r="C17" s="71" t="s">
        <v>145</v>
      </c>
      <c r="D17" s="71" t="s">
        <v>137</v>
      </c>
      <c r="E17" s="71" t="s">
        <v>140</v>
      </c>
      <c r="F17" s="71" t="s">
        <v>140</v>
      </c>
      <c r="G17" s="71" t="s">
        <v>173</v>
      </c>
      <c r="H17" s="71" t="s">
        <v>139</v>
      </c>
      <c r="I17" s="71">
        <v>259</v>
      </c>
      <c r="J17" s="71" t="s">
        <v>142</v>
      </c>
      <c r="K17" s="74">
        <v>46125</v>
      </c>
      <c r="L17" s="71"/>
      <c r="M17" s="71">
        <v>3.49</v>
      </c>
      <c r="N17" s="71">
        <v>903.91</v>
      </c>
      <c r="O17" s="71">
        <v>0</v>
      </c>
      <c r="P17" s="71">
        <v>3.49</v>
      </c>
      <c r="Q17" s="71">
        <v>903.91</v>
      </c>
      <c r="R17" s="71" t="s">
        <v>141</v>
      </c>
      <c r="S17" s="71" t="s">
        <v>29</v>
      </c>
    </row>
    <row r="18" spans="1:19" ht="67.2" x14ac:dyDescent="0.3">
      <c r="A18" s="71">
        <v>3</v>
      </c>
      <c r="B18" s="71" t="s">
        <v>144</v>
      </c>
      <c r="C18" s="71" t="s">
        <v>146</v>
      </c>
      <c r="D18" s="71" t="s">
        <v>137</v>
      </c>
      <c r="E18" s="71" t="s">
        <v>140</v>
      </c>
      <c r="F18" s="71" t="s">
        <v>140</v>
      </c>
      <c r="G18" s="71" t="s">
        <v>173</v>
      </c>
      <c r="H18" s="71" t="s">
        <v>139</v>
      </c>
      <c r="I18" s="71">
        <v>345</v>
      </c>
      <c r="J18" s="71" t="s">
        <v>142</v>
      </c>
      <c r="K18" s="74">
        <v>46125</v>
      </c>
      <c r="L18" s="71"/>
      <c r="M18" s="71">
        <v>3.49</v>
      </c>
      <c r="N18" s="71">
        <v>1204.05</v>
      </c>
      <c r="O18" s="71">
        <v>0</v>
      </c>
      <c r="P18" s="71">
        <v>3.49</v>
      </c>
      <c r="Q18" s="71">
        <v>1204.05</v>
      </c>
      <c r="R18" s="71" t="s">
        <v>141</v>
      </c>
      <c r="S18" s="71" t="s">
        <v>29</v>
      </c>
    </row>
    <row r="19" spans="1:19" ht="67.2" x14ac:dyDescent="0.3">
      <c r="A19" s="71">
        <v>4</v>
      </c>
      <c r="B19" s="71" t="s">
        <v>144</v>
      </c>
      <c r="C19" s="71" t="s">
        <v>147</v>
      </c>
      <c r="D19" s="71" t="s">
        <v>137</v>
      </c>
      <c r="E19" s="71" t="s">
        <v>140</v>
      </c>
      <c r="F19" s="71" t="s">
        <v>140</v>
      </c>
      <c r="G19" s="71" t="s">
        <v>173</v>
      </c>
      <c r="H19" s="71" t="s">
        <v>139</v>
      </c>
      <c r="I19" s="71">
        <v>414</v>
      </c>
      <c r="J19" s="71" t="s">
        <v>142</v>
      </c>
      <c r="K19" s="74">
        <v>46125</v>
      </c>
      <c r="L19" s="71"/>
      <c r="M19" s="71">
        <v>3.49</v>
      </c>
      <c r="N19" s="71">
        <v>1444.86</v>
      </c>
      <c r="O19" s="71">
        <v>0</v>
      </c>
      <c r="P19" s="71">
        <v>3.49</v>
      </c>
      <c r="Q19" s="71">
        <v>1444.86</v>
      </c>
      <c r="R19" s="71" t="s">
        <v>141</v>
      </c>
      <c r="S19" s="71" t="s">
        <v>29</v>
      </c>
    </row>
    <row r="20" spans="1:19" ht="67.2" x14ac:dyDescent="0.3">
      <c r="A20" s="71">
        <v>5</v>
      </c>
      <c r="B20" s="71" t="s">
        <v>144</v>
      </c>
      <c r="C20" s="71" t="s">
        <v>148</v>
      </c>
      <c r="D20" s="71" t="s">
        <v>137</v>
      </c>
      <c r="E20" s="71" t="s">
        <v>140</v>
      </c>
      <c r="F20" s="71" t="s">
        <v>140</v>
      </c>
      <c r="G20" s="71" t="s">
        <v>173</v>
      </c>
      <c r="H20" s="71" t="s">
        <v>139</v>
      </c>
      <c r="I20" s="71">
        <v>209</v>
      </c>
      <c r="J20" s="71" t="s">
        <v>142</v>
      </c>
      <c r="K20" s="74">
        <v>46125</v>
      </c>
      <c r="L20" s="71"/>
      <c r="M20" s="71">
        <v>3.49</v>
      </c>
      <c r="N20" s="71">
        <v>729.41</v>
      </c>
      <c r="O20" s="71">
        <v>0</v>
      </c>
      <c r="P20" s="71">
        <v>3.49</v>
      </c>
      <c r="Q20" s="71">
        <v>729.41</v>
      </c>
      <c r="R20" s="71" t="s">
        <v>141</v>
      </c>
      <c r="S20" s="71" t="s">
        <v>29</v>
      </c>
    </row>
    <row r="21" spans="1:19" ht="67.2" x14ac:dyDescent="0.3">
      <c r="A21" s="71">
        <v>6</v>
      </c>
      <c r="B21" s="71" t="s">
        <v>144</v>
      </c>
      <c r="C21" s="71" t="s">
        <v>149</v>
      </c>
      <c r="D21" s="71" t="s">
        <v>137</v>
      </c>
      <c r="E21" s="71" t="s">
        <v>140</v>
      </c>
      <c r="F21" s="71" t="s">
        <v>140</v>
      </c>
      <c r="G21" s="71" t="s">
        <v>173</v>
      </c>
      <c r="H21" s="71" t="s">
        <v>139</v>
      </c>
      <c r="I21" s="71">
        <v>242</v>
      </c>
      <c r="J21" s="71" t="s">
        <v>142</v>
      </c>
      <c r="K21" s="74">
        <v>46125</v>
      </c>
      <c r="L21" s="71"/>
      <c r="M21" s="71">
        <v>3.49</v>
      </c>
      <c r="N21" s="71">
        <v>844.58</v>
      </c>
      <c r="O21" s="71">
        <v>0</v>
      </c>
      <c r="P21" s="71">
        <v>3.49</v>
      </c>
      <c r="Q21" s="71">
        <v>844.58</v>
      </c>
      <c r="R21" s="71" t="s">
        <v>141</v>
      </c>
      <c r="S21" s="71" t="s">
        <v>29</v>
      </c>
    </row>
    <row r="22" spans="1:19" ht="67.2" x14ac:dyDescent="0.3">
      <c r="A22" s="71">
        <v>7</v>
      </c>
      <c r="B22" s="71" t="s">
        <v>150</v>
      </c>
      <c r="C22" s="71" t="s">
        <v>138</v>
      </c>
      <c r="D22" s="71" t="s">
        <v>151</v>
      </c>
      <c r="E22" s="71" t="s">
        <v>153</v>
      </c>
      <c r="F22" s="71" t="s">
        <v>153</v>
      </c>
      <c r="G22" s="71" t="s">
        <v>174</v>
      </c>
      <c r="H22" s="71" t="s">
        <v>152</v>
      </c>
      <c r="I22" s="71">
        <v>435</v>
      </c>
      <c r="J22" s="71" t="s">
        <v>142</v>
      </c>
      <c r="K22" s="74">
        <v>46125</v>
      </c>
      <c r="L22" s="71"/>
      <c r="M22" s="71">
        <v>1.2</v>
      </c>
      <c r="N22" s="71">
        <v>522</v>
      </c>
      <c r="O22" s="71">
        <v>0</v>
      </c>
      <c r="P22" s="71">
        <v>1.2</v>
      </c>
      <c r="Q22" s="71">
        <v>522</v>
      </c>
      <c r="R22" s="71" t="s">
        <v>141</v>
      </c>
      <c r="S22" s="71" t="s">
        <v>29</v>
      </c>
    </row>
    <row r="23" spans="1:19" ht="67.2" x14ac:dyDescent="0.3">
      <c r="A23" s="71">
        <v>8</v>
      </c>
      <c r="B23" s="71" t="s">
        <v>154</v>
      </c>
      <c r="C23" s="71" t="s">
        <v>145</v>
      </c>
      <c r="D23" s="71" t="s">
        <v>151</v>
      </c>
      <c r="E23" s="71" t="s">
        <v>153</v>
      </c>
      <c r="F23" s="71" t="s">
        <v>153</v>
      </c>
      <c r="G23" s="71" t="s">
        <v>174</v>
      </c>
      <c r="H23" s="71" t="s">
        <v>152</v>
      </c>
      <c r="I23" s="71">
        <v>609</v>
      </c>
      <c r="J23" s="71" t="s">
        <v>142</v>
      </c>
      <c r="K23" s="74">
        <v>46125</v>
      </c>
      <c r="L23" s="71"/>
      <c r="M23" s="71">
        <v>1.2</v>
      </c>
      <c r="N23" s="71">
        <v>730.8</v>
      </c>
      <c r="O23" s="71">
        <v>0</v>
      </c>
      <c r="P23" s="71">
        <v>1.2</v>
      </c>
      <c r="Q23" s="71">
        <v>730.8</v>
      </c>
      <c r="R23" s="71" t="s">
        <v>141</v>
      </c>
      <c r="S23" s="71" t="s">
        <v>29</v>
      </c>
    </row>
    <row r="24" spans="1:19" ht="67.2" x14ac:dyDescent="0.3">
      <c r="A24" s="71">
        <v>9</v>
      </c>
      <c r="B24" s="71" t="s">
        <v>154</v>
      </c>
      <c r="C24" s="71" t="s">
        <v>146</v>
      </c>
      <c r="D24" s="71" t="s">
        <v>151</v>
      </c>
      <c r="E24" s="71" t="s">
        <v>153</v>
      </c>
      <c r="F24" s="71" t="s">
        <v>153</v>
      </c>
      <c r="G24" s="71" t="s">
        <v>174</v>
      </c>
      <c r="H24" s="71" t="s">
        <v>152</v>
      </c>
      <c r="I24" s="71">
        <v>1045</v>
      </c>
      <c r="J24" s="71" t="s">
        <v>142</v>
      </c>
      <c r="K24" s="74">
        <v>46125</v>
      </c>
      <c r="L24" s="71"/>
      <c r="M24" s="71">
        <v>1.2</v>
      </c>
      <c r="N24" s="71">
        <v>1254</v>
      </c>
      <c r="O24" s="71">
        <v>0</v>
      </c>
      <c r="P24" s="71">
        <v>1.2</v>
      </c>
      <c r="Q24" s="71">
        <v>1254</v>
      </c>
      <c r="R24" s="71" t="s">
        <v>141</v>
      </c>
      <c r="S24" s="71" t="s">
        <v>29</v>
      </c>
    </row>
    <row r="25" spans="1:19" ht="67.2" x14ac:dyDescent="0.3">
      <c r="A25" s="71">
        <v>10</v>
      </c>
      <c r="B25" s="71" t="s">
        <v>154</v>
      </c>
      <c r="C25" s="71" t="s">
        <v>147</v>
      </c>
      <c r="D25" s="71" t="s">
        <v>151</v>
      </c>
      <c r="E25" s="71" t="s">
        <v>153</v>
      </c>
      <c r="F25" s="71" t="s">
        <v>153</v>
      </c>
      <c r="G25" s="71" t="s">
        <v>174</v>
      </c>
      <c r="H25" s="71" t="s">
        <v>152</v>
      </c>
      <c r="I25" s="71">
        <v>914</v>
      </c>
      <c r="J25" s="71" t="s">
        <v>142</v>
      </c>
      <c r="K25" s="74">
        <v>46125</v>
      </c>
      <c r="L25" s="71"/>
      <c r="M25" s="71">
        <v>1.2</v>
      </c>
      <c r="N25" s="71">
        <v>1096.8</v>
      </c>
      <c r="O25" s="71">
        <v>0</v>
      </c>
      <c r="P25" s="71">
        <v>1.2</v>
      </c>
      <c r="Q25" s="71">
        <v>1096.8</v>
      </c>
      <c r="R25" s="71" t="s">
        <v>141</v>
      </c>
      <c r="S25" s="71" t="s">
        <v>29</v>
      </c>
    </row>
    <row r="26" spans="1:19" ht="67.2" x14ac:dyDescent="0.3">
      <c r="A26" s="71">
        <v>11</v>
      </c>
      <c r="B26" s="71" t="s">
        <v>154</v>
      </c>
      <c r="C26" s="71" t="s">
        <v>148</v>
      </c>
      <c r="D26" s="71" t="s">
        <v>151</v>
      </c>
      <c r="E26" s="71" t="s">
        <v>153</v>
      </c>
      <c r="F26" s="71" t="s">
        <v>153</v>
      </c>
      <c r="G26" s="71" t="s">
        <v>174</v>
      </c>
      <c r="H26" s="71" t="s">
        <v>152</v>
      </c>
      <c r="I26" s="71">
        <v>784</v>
      </c>
      <c r="J26" s="71" t="s">
        <v>142</v>
      </c>
      <c r="K26" s="74">
        <v>46125</v>
      </c>
      <c r="L26" s="71"/>
      <c r="M26" s="71">
        <v>1.2</v>
      </c>
      <c r="N26" s="71">
        <v>940.8</v>
      </c>
      <c r="O26" s="71">
        <v>0</v>
      </c>
      <c r="P26" s="71">
        <v>1.2</v>
      </c>
      <c r="Q26" s="71">
        <v>940.8</v>
      </c>
      <c r="R26" s="71" t="s">
        <v>141</v>
      </c>
      <c r="S26" s="71" t="s">
        <v>29</v>
      </c>
    </row>
    <row r="27" spans="1:19" ht="67.2" x14ac:dyDescent="0.3">
      <c r="A27" s="71">
        <v>12</v>
      </c>
      <c r="B27" s="71" t="s">
        <v>154</v>
      </c>
      <c r="C27" s="71" t="s">
        <v>149</v>
      </c>
      <c r="D27" s="71" t="s">
        <v>151</v>
      </c>
      <c r="E27" s="71" t="s">
        <v>153</v>
      </c>
      <c r="F27" s="71" t="s">
        <v>153</v>
      </c>
      <c r="G27" s="71" t="s">
        <v>174</v>
      </c>
      <c r="H27" s="71" t="s">
        <v>152</v>
      </c>
      <c r="I27" s="71">
        <v>566</v>
      </c>
      <c r="J27" s="71" t="s">
        <v>142</v>
      </c>
      <c r="K27" s="74">
        <v>46125</v>
      </c>
      <c r="L27" s="71"/>
      <c r="M27" s="71">
        <v>1.2</v>
      </c>
      <c r="N27" s="71">
        <v>679.2</v>
      </c>
      <c r="O27" s="71">
        <v>0</v>
      </c>
      <c r="P27" s="71">
        <v>1.2</v>
      </c>
      <c r="Q27" s="71">
        <v>679.2</v>
      </c>
      <c r="R27" s="71" t="s">
        <v>141</v>
      </c>
      <c r="S27" s="71" t="s">
        <v>29</v>
      </c>
    </row>
    <row r="28" spans="1:19" x14ac:dyDescent="0.3">
      <c r="A28" s="148" t="s">
        <v>175</v>
      </c>
      <c r="B28" s="139"/>
      <c r="C28" s="139"/>
      <c r="D28" s="24" t="s">
        <v>1</v>
      </c>
      <c r="E28" s="24" t="s">
        <v>1</v>
      </c>
      <c r="F28" s="24" t="s">
        <v>1</v>
      </c>
      <c r="G28" s="24" t="s">
        <v>1</v>
      </c>
      <c r="H28" s="24" t="s">
        <v>1</v>
      </c>
      <c r="I28" s="69">
        <v>6043</v>
      </c>
      <c r="J28" s="24" t="s">
        <v>1</v>
      </c>
      <c r="K28" s="75">
        <v>46125</v>
      </c>
      <c r="L28" s="24"/>
      <c r="M28" s="69" t="s">
        <v>1</v>
      </c>
      <c r="N28" s="69">
        <v>11121.7</v>
      </c>
      <c r="O28" s="24" t="s">
        <v>1</v>
      </c>
      <c r="P28" s="69" t="s">
        <v>176</v>
      </c>
      <c r="Q28" s="69">
        <v>11121.7</v>
      </c>
      <c r="R28" s="24" t="s">
        <v>1</v>
      </c>
      <c r="S28" s="24" t="s">
        <v>1</v>
      </c>
    </row>
    <row r="29" spans="1:19" x14ac:dyDescent="0.3">
      <c r="A29" s="68" t="s">
        <v>1</v>
      </c>
      <c r="B29" s="68" t="s">
        <v>1</v>
      </c>
      <c r="C29" s="68" t="s">
        <v>1</v>
      </c>
      <c r="D29" s="68" t="s">
        <v>1</v>
      </c>
      <c r="E29" s="68" t="s">
        <v>1</v>
      </c>
      <c r="F29" s="68" t="s">
        <v>1</v>
      </c>
      <c r="G29" s="68" t="s">
        <v>1</v>
      </c>
      <c r="H29" s="68" t="s">
        <v>1</v>
      </c>
      <c r="I29" s="68" t="s">
        <v>1</v>
      </c>
      <c r="J29" s="68" t="s">
        <v>1</v>
      </c>
      <c r="K29" s="68" t="s">
        <v>1</v>
      </c>
      <c r="L29" s="68" t="s">
        <v>1</v>
      </c>
      <c r="M29" s="68" t="s">
        <v>1</v>
      </c>
      <c r="N29" s="68" t="s">
        <v>1</v>
      </c>
      <c r="O29" s="68" t="s">
        <v>1</v>
      </c>
      <c r="P29" s="68" t="s">
        <v>1</v>
      </c>
      <c r="Q29" s="68" t="s">
        <v>1</v>
      </c>
      <c r="R29" s="68" t="s">
        <v>1</v>
      </c>
      <c r="S29" s="68" t="s">
        <v>1</v>
      </c>
    </row>
    <row r="30" spans="1:19" ht="17.399999999999999" customHeight="1" x14ac:dyDescent="0.3">
      <c r="A30" s="149" t="s">
        <v>155</v>
      </c>
      <c r="B30" s="139"/>
      <c r="C30" s="139"/>
      <c r="D30" s="139"/>
      <c r="E30" s="139"/>
      <c r="F30" s="139"/>
      <c r="G30" s="139"/>
      <c r="H30" s="139"/>
      <c r="I30" s="139"/>
      <c r="J30" s="139"/>
      <c r="K30" s="139"/>
      <c r="L30" s="139"/>
      <c r="M30" s="139"/>
      <c r="N30" s="139"/>
      <c r="O30" s="139"/>
      <c r="P30" s="139"/>
      <c r="Q30" s="139"/>
      <c r="R30" s="139"/>
      <c r="S30" s="140"/>
    </row>
    <row r="31" spans="1:19" x14ac:dyDescent="0.3">
      <c r="A31" s="65" t="s">
        <v>1</v>
      </c>
      <c r="B31" s="65" t="s">
        <v>1</v>
      </c>
      <c r="C31" s="65" t="s">
        <v>1</v>
      </c>
      <c r="D31" s="64" t="s">
        <v>1</v>
      </c>
      <c r="E31" s="64" t="s">
        <v>1</v>
      </c>
      <c r="F31" s="64" t="s">
        <v>1</v>
      </c>
      <c r="G31" s="64" t="s">
        <v>1</v>
      </c>
      <c r="H31" s="64" t="s">
        <v>1</v>
      </c>
      <c r="I31" s="64" t="s">
        <v>1</v>
      </c>
      <c r="J31" s="131" t="s">
        <v>177</v>
      </c>
      <c r="K31" s="132"/>
      <c r="L31" s="135" t="s">
        <v>6</v>
      </c>
      <c r="M31" s="132"/>
      <c r="N31" s="132"/>
      <c r="O31" s="64" t="s">
        <v>157</v>
      </c>
      <c r="P31" s="141">
        <v>41990</v>
      </c>
      <c r="Q31" s="132"/>
      <c r="R31" s="64" t="s">
        <v>1</v>
      </c>
      <c r="S31" s="64" t="s">
        <v>1</v>
      </c>
    </row>
    <row r="32" spans="1:19" x14ac:dyDescent="0.3">
      <c r="A32" s="131" t="s">
        <v>178</v>
      </c>
      <c r="B32" s="132"/>
      <c r="C32" s="131" t="s">
        <v>49</v>
      </c>
      <c r="D32" s="132"/>
      <c r="E32" s="132"/>
      <c r="F32" s="132"/>
      <c r="G32" s="132"/>
      <c r="H32" s="132"/>
      <c r="I32" s="132"/>
      <c r="J32" s="64" t="s">
        <v>1</v>
      </c>
      <c r="K32" s="64" t="s">
        <v>1</v>
      </c>
      <c r="L32" s="64" t="s">
        <v>1</v>
      </c>
      <c r="M32" s="64" t="s">
        <v>1</v>
      </c>
      <c r="N32" s="64" t="s">
        <v>1</v>
      </c>
      <c r="O32" s="64" t="s">
        <v>1</v>
      </c>
      <c r="P32" s="64" t="s">
        <v>1</v>
      </c>
      <c r="Q32" s="64" t="s">
        <v>1</v>
      </c>
      <c r="R32" s="64" t="s">
        <v>1</v>
      </c>
      <c r="S32" s="64" t="s">
        <v>1</v>
      </c>
    </row>
    <row r="33" spans="1:19" ht="40.049999999999997" customHeight="1" x14ac:dyDescent="0.3">
      <c r="A33" s="131" t="s">
        <v>179</v>
      </c>
      <c r="B33" s="132"/>
      <c r="C33" s="131" t="s">
        <v>9</v>
      </c>
      <c r="D33" s="132"/>
      <c r="E33" s="132"/>
      <c r="F33" s="132"/>
      <c r="G33" s="132"/>
      <c r="H33" s="132"/>
      <c r="I33" s="132"/>
      <c r="J33" s="67" t="s">
        <v>180</v>
      </c>
      <c r="K33" s="131" t="s">
        <v>12</v>
      </c>
      <c r="L33" s="132"/>
      <c r="M33" s="132"/>
      <c r="N33" s="132"/>
      <c r="O33" s="132"/>
      <c r="P33" s="132"/>
      <c r="Q33" s="132"/>
      <c r="R33" s="132"/>
      <c r="S33" s="132"/>
    </row>
    <row r="34" spans="1:19" x14ac:dyDescent="0.3">
      <c r="A34" s="64" t="s">
        <v>1</v>
      </c>
      <c r="B34" s="64" t="s">
        <v>1</v>
      </c>
      <c r="C34" s="64" t="s">
        <v>1</v>
      </c>
      <c r="D34" s="64" t="s">
        <v>1</v>
      </c>
      <c r="E34" s="64" t="s">
        <v>1</v>
      </c>
      <c r="F34" s="64" t="s">
        <v>1</v>
      </c>
      <c r="G34" s="64" t="s">
        <v>1</v>
      </c>
      <c r="H34" s="64" t="s">
        <v>1</v>
      </c>
      <c r="I34" s="64" t="s">
        <v>1</v>
      </c>
      <c r="J34" s="64" t="s">
        <v>1</v>
      </c>
      <c r="K34" s="64" t="s">
        <v>1</v>
      </c>
      <c r="L34" s="64" t="s">
        <v>1</v>
      </c>
      <c r="M34" s="64" t="s">
        <v>1</v>
      </c>
      <c r="N34" s="64" t="s">
        <v>1</v>
      </c>
      <c r="O34" s="64" t="s">
        <v>1</v>
      </c>
      <c r="P34" s="64" t="s">
        <v>1</v>
      </c>
      <c r="Q34" s="64" t="s">
        <v>1</v>
      </c>
      <c r="R34" s="64" t="s">
        <v>1</v>
      </c>
      <c r="S34" s="64" t="s">
        <v>1</v>
      </c>
    </row>
    <row r="35" spans="1:19" x14ac:dyDescent="0.3">
      <c r="A35" s="135" t="s">
        <v>181</v>
      </c>
      <c r="B35" s="132"/>
      <c r="C35" s="132"/>
      <c r="D35" s="64" t="s">
        <v>1</v>
      </c>
      <c r="E35" s="64" t="s">
        <v>1</v>
      </c>
      <c r="F35" s="64" t="s">
        <v>1</v>
      </c>
      <c r="G35" s="64" t="s">
        <v>1</v>
      </c>
      <c r="H35" s="64" t="s">
        <v>1</v>
      </c>
      <c r="I35" s="64" t="s">
        <v>1</v>
      </c>
      <c r="J35" s="64" t="s">
        <v>1</v>
      </c>
      <c r="K35" s="64" t="s">
        <v>1</v>
      </c>
      <c r="L35" s="64" t="s">
        <v>1</v>
      </c>
      <c r="M35" s="64" t="s">
        <v>1</v>
      </c>
      <c r="N35" s="64" t="s">
        <v>1</v>
      </c>
      <c r="O35" s="64" t="s">
        <v>1</v>
      </c>
      <c r="P35" s="64" t="s">
        <v>1</v>
      </c>
      <c r="Q35" s="64" t="s">
        <v>1</v>
      </c>
      <c r="R35" s="64" t="s">
        <v>1</v>
      </c>
      <c r="S35" s="64" t="s">
        <v>1</v>
      </c>
    </row>
    <row r="36" spans="1:19" x14ac:dyDescent="0.3">
      <c r="A36" s="64" t="s">
        <v>1</v>
      </c>
      <c r="B36" s="65" t="s">
        <v>158</v>
      </c>
      <c r="C36" s="64" t="s">
        <v>1</v>
      </c>
      <c r="D36" s="64" t="s">
        <v>1</v>
      </c>
      <c r="E36" s="64" t="s">
        <v>1</v>
      </c>
      <c r="F36" s="64" t="s">
        <v>1</v>
      </c>
      <c r="G36" s="64" t="s">
        <v>1</v>
      </c>
      <c r="H36" s="64" t="s">
        <v>1</v>
      </c>
      <c r="I36" s="64" t="s">
        <v>1</v>
      </c>
      <c r="J36" s="64" t="s">
        <v>1</v>
      </c>
      <c r="K36" s="64" t="s">
        <v>1</v>
      </c>
      <c r="L36" s="65" t="s">
        <v>159</v>
      </c>
      <c r="M36" s="64" t="s">
        <v>1</v>
      </c>
      <c r="N36" s="64" t="s">
        <v>1</v>
      </c>
      <c r="O36" s="64" t="s">
        <v>1</v>
      </c>
      <c r="P36" s="64" t="s">
        <v>1</v>
      </c>
      <c r="Q36" s="64" t="s">
        <v>1</v>
      </c>
      <c r="R36" s="64" t="s">
        <v>1</v>
      </c>
      <c r="S36" s="64" t="s">
        <v>1</v>
      </c>
    </row>
    <row r="37" spans="1:19" ht="14.55" customHeight="1" x14ac:dyDescent="0.3">
      <c r="A37" s="131" t="s">
        <v>182</v>
      </c>
      <c r="B37" s="132"/>
      <c r="C37" s="131" t="s">
        <v>35</v>
      </c>
      <c r="D37" s="132"/>
      <c r="E37" s="132"/>
      <c r="F37" s="132"/>
      <c r="G37" s="132"/>
      <c r="H37" s="132"/>
      <c r="I37" s="132"/>
      <c r="J37" s="131" t="s">
        <v>182</v>
      </c>
      <c r="K37" s="132"/>
      <c r="L37" s="131" t="s">
        <v>61</v>
      </c>
      <c r="M37" s="132"/>
      <c r="N37" s="132"/>
      <c r="O37" s="132"/>
      <c r="P37" s="132"/>
      <c r="Q37" s="132"/>
      <c r="R37" s="132"/>
      <c r="S37" s="132"/>
    </row>
    <row r="38" spans="1:19" ht="14.4" customHeight="1" x14ac:dyDescent="0.3">
      <c r="A38" s="131" t="s">
        <v>183</v>
      </c>
      <c r="B38" s="132"/>
      <c r="C38" s="131" t="s">
        <v>41</v>
      </c>
      <c r="D38" s="132"/>
      <c r="E38" s="132"/>
      <c r="F38" s="132"/>
      <c r="G38" s="132"/>
      <c r="H38" s="132"/>
      <c r="I38" s="132"/>
      <c r="J38" s="131" t="s">
        <v>183</v>
      </c>
      <c r="K38" s="132"/>
      <c r="L38" s="131" t="s">
        <v>66</v>
      </c>
      <c r="M38" s="132"/>
      <c r="N38" s="132"/>
      <c r="O38" s="132"/>
      <c r="P38" s="132"/>
      <c r="Q38" s="132"/>
      <c r="R38" s="132"/>
      <c r="S38" s="132"/>
    </row>
    <row r="39" spans="1:19" ht="14.55" customHeight="1" x14ac:dyDescent="0.3">
      <c r="A39" s="131" t="s">
        <v>184</v>
      </c>
      <c r="B39" s="132"/>
      <c r="C39" s="131"/>
      <c r="D39" s="132"/>
      <c r="E39" s="132"/>
      <c r="F39" s="132"/>
      <c r="G39" s="132"/>
      <c r="H39" s="132"/>
      <c r="I39" s="132"/>
      <c r="J39" s="131" t="s">
        <v>184</v>
      </c>
      <c r="K39" s="132"/>
      <c r="L39" s="131"/>
      <c r="M39" s="132"/>
      <c r="N39" s="132"/>
      <c r="O39" s="132"/>
      <c r="P39" s="132"/>
      <c r="Q39" s="132"/>
      <c r="R39" s="132"/>
      <c r="S39" s="132"/>
    </row>
    <row r="40" spans="1:19" ht="14.55" customHeight="1" x14ac:dyDescent="0.3">
      <c r="A40" s="131" t="s">
        <v>185</v>
      </c>
      <c r="B40" s="132"/>
      <c r="C40" s="131" t="s">
        <v>38</v>
      </c>
      <c r="D40" s="132"/>
      <c r="E40" s="132"/>
      <c r="F40" s="132"/>
      <c r="G40" s="132"/>
      <c r="H40" s="132"/>
      <c r="I40" s="132"/>
      <c r="J40" s="147" t="s">
        <v>185</v>
      </c>
      <c r="K40" s="132"/>
      <c r="L40" s="131" t="s">
        <v>65</v>
      </c>
      <c r="M40" s="132"/>
      <c r="N40" s="132"/>
      <c r="O40" s="132"/>
      <c r="P40" s="132"/>
      <c r="Q40" s="132"/>
      <c r="R40" s="132"/>
      <c r="S40" s="132"/>
    </row>
    <row r="41" spans="1:19" x14ac:dyDescent="0.3">
      <c r="A41" s="64" t="s">
        <v>1</v>
      </c>
      <c r="B41" s="64" t="s">
        <v>1</v>
      </c>
      <c r="C41" s="64" t="s">
        <v>1</v>
      </c>
      <c r="D41" s="64" t="s">
        <v>1</v>
      </c>
      <c r="E41" s="64" t="s">
        <v>1</v>
      </c>
      <c r="F41" s="64" t="s">
        <v>1</v>
      </c>
      <c r="G41" s="64" t="s">
        <v>1</v>
      </c>
      <c r="H41" s="64" t="s">
        <v>1</v>
      </c>
      <c r="I41" s="64" t="s">
        <v>1</v>
      </c>
      <c r="J41" s="131" t="s">
        <v>186</v>
      </c>
      <c r="K41" s="132"/>
      <c r="L41" s="133"/>
      <c r="M41" s="132"/>
      <c r="N41" s="132"/>
      <c r="O41" s="132"/>
      <c r="P41" s="132"/>
      <c r="Q41" s="132"/>
      <c r="R41" s="132"/>
      <c r="S41" s="132"/>
    </row>
    <row r="42" spans="1:19" ht="14.55" customHeight="1" x14ac:dyDescent="0.3">
      <c r="A42" s="131" t="s">
        <v>187</v>
      </c>
      <c r="B42" s="132"/>
      <c r="C42" s="131" t="s">
        <v>19</v>
      </c>
      <c r="D42" s="132"/>
      <c r="E42" s="132"/>
      <c r="F42" s="132"/>
      <c r="G42" s="132"/>
      <c r="H42" s="132"/>
      <c r="I42" s="132"/>
      <c r="J42" s="131" t="s">
        <v>187</v>
      </c>
      <c r="K42" s="132"/>
      <c r="L42" s="131" t="s">
        <v>53</v>
      </c>
      <c r="M42" s="132"/>
      <c r="N42" s="132"/>
      <c r="O42" s="132"/>
      <c r="P42" s="132"/>
      <c r="Q42" s="132"/>
      <c r="R42" s="132"/>
      <c r="S42" s="132"/>
    </row>
    <row r="43" spans="1:19" ht="14.55" customHeight="1" x14ac:dyDescent="0.3">
      <c r="A43" s="131" t="s">
        <v>188</v>
      </c>
      <c r="B43" s="132"/>
      <c r="C43" s="131" t="s">
        <v>44</v>
      </c>
      <c r="D43" s="132"/>
      <c r="E43" s="132"/>
      <c r="F43" s="132"/>
      <c r="G43" s="132"/>
      <c r="H43" s="132"/>
      <c r="I43" s="132"/>
      <c r="J43" s="131" t="s">
        <v>188</v>
      </c>
      <c r="K43" s="132"/>
      <c r="L43" s="131" t="s">
        <v>69</v>
      </c>
      <c r="M43" s="132"/>
      <c r="N43" s="132"/>
      <c r="O43" s="132"/>
      <c r="P43" s="132"/>
      <c r="Q43" s="132"/>
      <c r="R43" s="132"/>
      <c r="S43" s="132"/>
    </row>
    <row r="44" spans="1:19" x14ac:dyDescent="0.3">
      <c r="A44" s="64" t="s">
        <v>1</v>
      </c>
      <c r="B44" s="64" t="s">
        <v>1</v>
      </c>
      <c r="C44" s="64" t="s">
        <v>1</v>
      </c>
      <c r="D44" s="64" t="s">
        <v>1</v>
      </c>
      <c r="E44" s="64" t="s">
        <v>1</v>
      </c>
      <c r="F44" s="64" t="s">
        <v>1</v>
      </c>
      <c r="G44" s="64" t="s">
        <v>1</v>
      </c>
      <c r="H44" s="64" t="s">
        <v>1</v>
      </c>
      <c r="I44" s="64" t="s">
        <v>1</v>
      </c>
      <c r="J44" s="147" t="s">
        <v>189</v>
      </c>
      <c r="K44" s="132"/>
      <c r="L44" s="131" t="s">
        <v>71</v>
      </c>
      <c r="M44" s="132"/>
      <c r="N44" s="132"/>
      <c r="O44" s="132"/>
      <c r="P44" s="132"/>
      <c r="Q44" s="132"/>
      <c r="R44" s="132"/>
      <c r="S44" s="132"/>
    </row>
    <row r="45" spans="1:19" ht="14.55" customHeight="1" x14ac:dyDescent="0.3">
      <c r="A45" s="131" t="s">
        <v>190</v>
      </c>
      <c r="B45" s="132"/>
      <c r="C45" s="131" t="s">
        <v>25</v>
      </c>
      <c r="D45" s="132"/>
      <c r="E45" s="132"/>
      <c r="F45" s="132"/>
      <c r="G45" s="132"/>
      <c r="H45" s="132"/>
      <c r="I45" s="132"/>
      <c r="J45" s="131" t="s">
        <v>190</v>
      </c>
      <c r="K45" s="132"/>
      <c r="L45" s="131" t="s">
        <v>59</v>
      </c>
      <c r="M45" s="132"/>
      <c r="N45" s="132"/>
      <c r="O45" s="132"/>
      <c r="P45" s="132"/>
      <c r="Q45" s="132"/>
      <c r="R45" s="132"/>
      <c r="S45" s="132"/>
    </row>
    <row r="46" spans="1:19" ht="14.55" customHeight="1" x14ac:dyDescent="0.3">
      <c r="A46" s="131" t="s">
        <v>191</v>
      </c>
      <c r="B46" s="132"/>
      <c r="C46" s="131" t="s">
        <v>22</v>
      </c>
      <c r="D46" s="132"/>
      <c r="E46" s="132"/>
      <c r="F46" s="132"/>
      <c r="G46" s="132"/>
      <c r="H46" s="132"/>
      <c r="I46" s="132"/>
      <c r="J46" s="131" t="s">
        <v>191</v>
      </c>
      <c r="K46" s="132"/>
      <c r="L46" s="131" t="s">
        <v>56</v>
      </c>
      <c r="M46" s="132"/>
      <c r="N46" s="132"/>
      <c r="O46" s="132"/>
      <c r="P46" s="132"/>
      <c r="Q46" s="132"/>
      <c r="R46" s="132"/>
      <c r="S46" s="132"/>
    </row>
    <row r="47" spans="1:19" ht="141.75" customHeight="1" thickBot="1" x14ac:dyDescent="0.35">
      <c r="A47" s="132"/>
      <c r="B47" s="132"/>
      <c r="C47" s="132"/>
      <c r="D47" s="132"/>
      <c r="E47" s="132"/>
      <c r="F47" s="132"/>
      <c r="G47" s="132"/>
      <c r="H47" s="132"/>
      <c r="I47" s="132"/>
      <c r="J47" s="64" t="s">
        <v>1</v>
      </c>
      <c r="K47" s="132"/>
      <c r="L47" s="132"/>
      <c r="M47" s="132"/>
      <c r="N47" s="132"/>
      <c r="O47" s="132"/>
      <c r="P47" s="132"/>
      <c r="Q47" s="132"/>
      <c r="R47" s="132"/>
      <c r="S47" s="132"/>
    </row>
    <row r="48" spans="1:19" ht="15" thickTop="1" x14ac:dyDescent="0.3">
      <c r="A48" s="145" t="s">
        <v>158</v>
      </c>
      <c r="B48" s="146"/>
      <c r="C48" s="66" t="s">
        <v>1</v>
      </c>
      <c r="D48" s="66" t="s">
        <v>1</v>
      </c>
      <c r="E48" s="66" t="s">
        <v>1</v>
      </c>
      <c r="F48" s="64" t="s">
        <v>1</v>
      </c>
      <c r="G48" s="64" t="s">
        <v>1</v>
      </c>
      <c r="H48" s="64" t="s">
        <v>1</v>
      </c>
      <c r="I48" s="64" t="s">
        <v>1</v>
      </c>
      <c r="J48" s="64" t="s">
        <v>1</v>
      </c>
      <c r="K48" s="72" t="s">
        <v>159</v>
      </c>
      <c r="L48" s="72" t="s">
        <v>1</v>
      </c>
      <c r="M48" s="72" t="s">
        <v>1</v>
      </c>
      <c r="N48" s="72" t="s">
        <v>1</v>
      </c>
      <c r="O48" s="72" t="s">
        <v>1</v>
      </c>
      <c r="P48" s="72" t="s">
        <v>1</v>
      </c>
      <c r="Q48" s="64" t="s">
        <v>1</v>
      </c>
      <c r="R48" s="64" t="s">
        <v>1</v>
      </c>
      <c r="S48" s="64"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35:C35"/>
    <mergeCell ref="A13:B13"/>
    <mergeCell ref="C13:I13"/>
    <mergeCell ref="A28:C28"/>
    <mergeCell ref="A30:S30"/>
    <mergeCell ref="J31:K31"/>
    <mergeCell ref="L31:N31"/>
    <mergeCell ref="P31:Q31"/>
    <mergeCell ref="A32:B32"/>
    <mergeCell ref="C32:I32"/>
    <mergeCell ref="A33:B33"/>
    <mergeCell ref="C33:I33"/>
    <mergeCell ref="K33:S33"/>
    <mergeCell ref="A37:B37"/>
    <mergeCell ref="C37:I37"/>
    <mergeCell ref="J37:K37"/>
    <mergeCell ref="L37:S37"/>
    <mergeCell ref="A38:B38"/>
    <mergeCell ref="C38:I38"/>
    <mergeCell ref="J38:K38"/>
    <mergeCell ref="L38:S38"/>
    <mergeCell ref="A39:B39"/>
    <mergeCell ref="C39:I39"/>
    <mergeCell ref="J39:K39"/>
    <mergeCell ref="L39:S39"/>
    <mergeCell ref="A40:B40"/>
    <mergeCell ref="C40:I40"/>
    <mergeCell ref="J40:K40"/>
    <mergeCell ref="L40:S40"/>
    <mergeCell ref="J41:K41"/>
    <mergeCell ref="L41:S41"/>
    <mergeCell ref="A42:B42"/>
    <mergeCell ref="C42:I42"/>
    <mergeCell ref="J42:K42"/>
    <mergeCell ref="L42:S42"/>
    <mergeCell ref="A43:B43"/>
    <mergeCell ref="C43:I43"/>
    <mergeCell ref="J43:K43"/>
    <mergeCell ref="L43:S43"/>
    <mergeCell ref="J44:K44"/>
    <mergeCell ref="L44:S44"/>
    <mergeCell ref="A47:I47"/>
    <mergeCell ref="K47:S47"/>
    <mergeCell ref="A48:B48"/>
    <mergeCell ref="A45:B45"/>
    <mergeCell ref="C45:I45"/>
    <mergeCell ref="J45:K45"/>
    <mergeCell ref="L45:S45"/>
    <mergeCell ref="A46:B46"/>
    <mergeCell ref="C46:I46"/>
    <mergeCell ref="J46:K46"/>
    <mergeCell ref="L46:S46"/>
  </mergeCells>
  <pageMargins left="0.39370078740157499" right="0.39370078740157499" top="0.39370078740157499" bottom="0.39370078740157499" header="0.39370078740157499" footer="0.39370078740157499"/>
  <pageSetup paperSize="9" scale="7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CE07-55EF-420E-AB67-804F24746213}">
  <dimension ref="A1:M18"/>
  <sheetViews>
    <sheetView workbookViewId="0">
      <selection activeCell="A47" sqref="A47:I47"/>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370</v>
      </c>
      <c r="L7" s="61" t="s">
        <v>371</v>
      </c>
    </row>
    <row r="10" spans="1:13" ht="43.2" x14ac:dyDescent="0.3">
      <c r="B10" s="59" t="s">
        <v>164</v>
      </c>
      <c r="C10" s="60" t="s">
        <v>167</v>
      </c>
      <c r="D10" s="59" t="s">
        <v>368</v>
      </c>
      <c r="K10" s="59" t="s">
        <v>220</v>
      </c>
      <c r="L10" s="60" t="s">
        <v>227</v>
      </c>
      <c r="M10" s="59" t="s">
        <v>369</v>
      </c>
    </row>
    <row r="11" spans="1:13" x14ac:dyDescent="0.3">
      <c r="B11" s="59" t="s">
        <v>140</v>
      </c>
      <c r="C11" s="59">
        <v>3.49</v>
      </c>
      <c r="D11" s="59" t="s">
        <v>142</v>
      </c>
      <c r="K11" s="59" t="s">
        <v>140</v>
      </c>
      <c r="L11" s="59">
        <v>3.49</v>
      </c>
      <c r="M11" s="59" t="s">
        <v>238</v>
      </c>
    </row>
    <row r="12" spans="1:13" x14ac:dyDescent="0.3">
      <c r="B12" s="59" t="s">
        <v>153</v>
      </c>
      <c r="C12" s="59">
        <v>1.2</v>
      </c>
      <c r="D12" s="59" t="s">
        <v>142</v>
      </c>
      <c r="K12" s="59" t="s">
        <v>153</v>
      </c>
      <c r="L12" s="59">
        <v>1.2</v>
      </c>
      <c r="M12" s="59" t="s">
        <v>238</v>
      </c>
    </row>
    <row r="13" spans="1:13" x14ac:dyDescent="0.3">
      <c r="B13" s="59" t="s">
        <v>1</v>
      </c>
      <c r="C13" s="59"/>
      <c r="D13" s="59" t="s">
        <v>1</v>
      </c>
      <c r="K13" s="59" t="s">
        <v>1</v>
      </c>
      <c r="L13" s="59" t="s">
        <v>176</v>
      </c>
      <c r="M13" s="59" t="s">
        <v>1</v>
      </c>
    </row>
    <row r="15" spans="1:13" x14ac:dyDescent="0.3">
      <c r="B15" s="57" t="s">
        <v>372</v>
      </c>
      <c r="D15" s="58">
        <v>46071</v>
      </c>
      <c r="E15" t="str">
        <f>IF(WEEKDAY(D15,2)&gt;5,"выходной","")</f>
        <v/>
      </c>
      <c r="K15" t="s">
        <v>374</v>
      </c>
      <c r="M15" s="58">
        <v>46071</v>
      </c>
    </row>
    <row r="16" spans="1:13" x14ac:dyDescent="0.3">
      <c r="B16" s="57" t="s">
        <v>373</v>
      </c>
      <c r="D16" s="58">
        <v>46253</v>
      </c>
      <c r="E16" t="str">
        <f>IF(WEEKDAY(D16,2)&gt;5,"выходной","")</f>
        <v/>
      </c>
      <c r="K16" s="56" t="s">
        <v>375</v>
      </c>
      <c r="M16" s="58">
        <v>46253</v>
      </c>
    </row>
    <row r="18" spans="11:11" x14ac:dyDescent="0.3">
      <c r="K18" s="56" t="s">
        <v>376</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FF0F5-98BF-4CD1-8D1A-AED8F01F6170}">
  <dimension ref="A1:C19"/>
  <sheetViews>
    <sheetView workbookViewId="0">
      <selection activeCell="B14" sqref="B14"/>
    </sheetView>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46100</v>
      </c>
    </row>
    <row r="5" spans="1:3" x14ac:dyDescent="0.3">
      <c r="B5" t="s">
        <v>362</v>
      </c>
    </row>
    <row r="7" spans="1:3" x14ac:dyDescent="0.3">
      <c r="A7" t="s">
        <v>363</v>
      </c>
      <c r="B7" t="s">
        <v>140</v>
      </c>
    </row>
    <row r="8" spans="1:3" x14ac:dyDescent="0.3">
      <c r="A8" t="s">
        <v>171</v>
      </c>
      <c r="B8" t="s">
        <v>141</v>
      </c>
    </row>
    <row r="9" spans="1:3" x14ac:dyDescent="0.3">
      <c r="B9" s="55" t="s">
        <v>364</v>
      </c>
    </row>
    <row r="10" spans="1:3" x14ac:dyDescent="0.3">
      <c r="A10" t="s">
        <v>218</v>
      </c>
      <c r="B10" t="s">
        <v>236</v>
      </c>
    </row>
    <row r="11" spans="1:3" ht="86.4" x14ac:dyDescent="0.3">
      <c r="B11" s="55" t="s">
        <v>365</v>
      </c>
    </row>
    <row r="12" spans="1:3" x14ac:dyDescent="0.3">
      <c r="A12" t="s">
        <v>366</v>
      </c>
    </row>
    <row r="14" spans="1:3" x14ac:dyDescent="0.3">
      <c r="A14" t="s">
        <v>363</v>
      </c>
      <c r="B14" t="s">
        <v>153</v>
      </c>
    </row>
    <row r="15" spans="1:3" x14ac:dyDescent="0.3">
      <c r="A15" t="s">
        <v>171</v>
      </c>
      <c r="B15" t="s">
        <v>141</v>
      </c>
    </row>
    <row r="16" spans="1:3" x14ac:dyDescent="0.3">
      <c r="B16" s="55" t="s">
        <v>367</v>
      </c>
    </row>
    <row r="17" spans="1:2" x14ac:dyDescent="0.3">
      <c r="A17" t="s">
        <v>218</v>
      </c>
      <c r="B17" t="s">
        <v>246</v>
      </c>
    </row>
    <row r="18" spans="1:2" ht="86.4" x14ac:dyDescent="0.3">
      <c r="B18" s="55" t="s">
        <v>365</v>
      </c>
    </row>
    <row r="19" spans="1:2" x14ac:dyDescent="0.3">
      <c r="A19" t="s">
        <v>366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ht="20.399999999999999"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0"/>
  <sheetViews>
    <sheetView showGridLines="0" workbookViewId="0">
      <selection activeCell="G17" sqref="G17:G29"/>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60" t="s">
        <v>80</v>
      </c>
      <c r="B1" s="132"/>
      <c r="C1" s="132"/>
      <c r="D1" s="132"/>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135" t="s">
        <v>81</v>
      </c>
      <c r="B3" s="132"/>
      <c r="C3" s="132"/>
      <c r="D3" s="132"/>
      <c r="E3" s="10" t="s">
        <v>1</v>
      </c>
      <c r="F3" s="10" t="s">
        <v>1</v>
      </c>
      <c r="G3" s="10" t="s">
        <v>1</v>
      </c>
      <c r="H3" s="10" t="s">
        <v>1</v>
      </c>
      <c r="I3" s="135" t="s">
        <v>82</v>
      </c>
      <c r="J3" s="132"/>
      <c r="K3" s="132"/>
      <c r="L3" s="132"/>
      <c r="M3" s="11" t="s">
        <v>1</v>
      </c>
      <c r="N3" s="10" t="s">
        <v>1</v>
      </c>
      <c r="O3" s="10" t="s">
        <v>1</v>
      </c>
      <c r="P3" s="10" t="s">
        <v>1</v>
      </c>
      <c r="Q3" s="10" t="s">
        <v>1</v>
      </c>
      <c r="R3" s="10" t="s">
        <v>1</v>
      </c>
      <c r="S3" s="10" t="s">
        <v>1</v>
      </c>
      <c r="T3" s="10" t="s">
        <v>1</v>
      </c>
      <c r="U3" s="10" t="s">
        <v>1</v>
      </c>
      <c r="V3" s="10" t="s">
        <v>1</v>
      </c>
      <c r="W3" s="10" t="s">
        <v>1</v>
      </c>
    </row>
    <row r="4" spans="1:23" x14ac:dyDescent="0.3">
      <c r="A4" s="158" t="s">
        <v>2</v>
      </c>
      <c r="B4" s="132"/>
      <c r="C4" s="132"/>
      <c r="D4" s="158" t="s">
        <v>3</v>
      </c>
      <c r="E4" s="132"/>
      <c r="F4" s="132"/>
      <c r="G4" s="132"/>
      <c r="H4" s="10" t="s">
        <v>1</v>
      </c>
      <c r="I4" s="158" t="s">
        <v>2</v>
      </c>
      <c r="J4" s="132"/>
      <c r="K4" s="132"/>
      <c r="L4" s="132"/>
      <c r="M4" s="132"/>
      <c r="N4" s="132"/>
      <c r="O4" s="158" t="s">
        <v>83</v>
      </c>
      <c r="P4" s="132"/>
      <c r="Q4" s="132"/>
      <c r="R4" s="10" t="s">
        <v>1</v>
      </c>
      <c r="S4" s="10" t="s">
        <v>1</v>
      </c>
      <c r="T4" s="10" t="s">
        <v>1</v>
      </c>
      <c r="U4" s="10" t="s">
        <v>1</v>
      </c>
      <c r="V4" s="10" t="s">
        <v>1</v>
      </c>
      <c r="W4" s="10" t="s">
        <v>1</v>
      </c>
    </row>
    <row r="5" spans="1:23" x14ac:dyDescent="0.3">
      <c r="A5" s="151" t="s">
        <v>84</v>
      </c>
      <c r="B5" s="132"/>
      <c r="C5" s="132"/>
      <c r="D5" s="131" t="s">
        <v>53</v>
      </c>
      <c r="E5" s="132"/>
      <c r="F5" s="132"/>
      <c r="G5" s="132"/>
      <c r="H5" s="10" t="s">
        <v>1</v>
      </c>
      <c r="I5" s="151" t="s">
        <v>85</v>
      </c>
      <c r="J5" s="132"/>
      <c r="K5" s="132"/>
      <c r="L5" s="132"/>
      <c r="M5" s="132"/>
      <c r="N5" s="132"/>
      <c r="O5" s="131">
        <v>11121.7</v>
      </c>
      <c r="P5" s="132"/>
      <c r="Q5" s="132"/>
      <c r="R5" s="10" t="s">
        <v>1</v>
      </c>
      <c r="S5" s="10" t="s">
        <v>1</v>
      </c>
      <c r="T5" s="10" t="s">
        <v>1</v>
      </c>
      <c r="U5" s="10" t="s">
        <v>1</v>
      </c>
      <c r="V5" s="10" t="s">
        <v>1</v>
      </c>
      <c r="W5" s="10" t="s">
        <v>1</v>
      </c>
    </row>
    <row r="6" spans="1:23" x14ac:dyDescent="0.3">
      <c r="A6" s="151" t="s">
        <v>86</v>
      </c>
      <c r="B6" s="132"/>
      <c r="C6" s="132"/>
      <c r="D6" s="131" t="s">
        <v>56</v>
      </c>
      <c r="E6" s="132"/>
      <c r="F6" s="132"/>
      <c r="G6" s="132"/>
      <c r="H6" s="10" t="s">
        <v>1</v>
      </c>
      <c r="I6" s="151" t="s">
        <v>87</v>
      </c>
      <c r="J6" s="132"/>
      <c r="K6" s="132"/>
      <c r="L6" s="132"/>
      <c r="M6" s="132"/>
      <c r="N6" s="132"/>
      <c r="O6" s="131"/>
      <c r="P6" s="132"/>
      <c r="Q6" s="132"/>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51" t="s">
        <v>88</v>
      </c>
      <c r="J7" s="132"/>
      <c r="K7" s="132"/>
      <c r="L7" s="132"/>
      <c r="M7" s="132"/>
      <c r="N7" s="132"/>
      <c r="O7" s="131" t="s">
        <v>89</v>
      </c>
      <c r="P7" s="132"/>
      <c r="Q7" s="132"/>
      <c r="R7" s="10" t="s">
        <v>1</v>
      </c>
      <c r="S7" s="10" t="s">
        <v>1</v>
      </c>
      <c r="T7" s="10" t="s">
        <v>1</v>
      </c>
      <c r="U7" s="10" t="s">
        <v>1</v>
      </c>
      <c r="V7" s="10" t="s">
        <v>1</v>
      </c>
      <c r="W7" s="10" t="s">
        <v>1</v>
      </c>
    </row>
    <row r="8" spans="1:23" x14ac:dyDescent="0.3">
      <c r="A8" s="134" t="s">
        <v>90</v>
      </c>
      <c r="B8" s="132"/>
      <c r="C8" s="132"/>
      <c r="D8" s="132"/>
      <c r="E8" s="12" t="s">
        <v>1</v>
      </c>
      <c r="F8" s="12" t="s">
        <v>1</v>
      </c>
      <c r="G8" s="12" t="s">
        <v>1</v>
      </c>
      <c r="H8" s="12" t="s">
        <v>1</v>
      </c>
      <c r="I8" s="134" t="s">
        <v>91</v>
      </c>
      <c r="J8" s="132"/>
      <c r="K8" s="132"/>
      <c r="L8" s="132"/>
      <c r="M8" s="132"/>
      <c r="N8" s="132"/>
      <c r="O8" s="10" t="s">
        <v>1</v>
      </c>
      <c r="P8" s="10" t="s">
        <v>1</v>
      </c>
      <c r="Q8" s="10" t="s">
        <v>1</v>
      </c>
      <c r="R8" s="10" t="s">
        <v>1</v>
      </c>
      <c r="S8" s="10" t="s">
        <v>1</v>
      </c>
      <c r="T8" s="10" t="s">
        <v>1</v>
      </c>
      <c r="U8" s="10" t="s">
        <v>1</v>
      </c>
      <c r="V8" s="10" t="s">
        <v>1</v>
      </c>
      <c r="W8" s="10" t="s">
        <v>1</v>
      </c>
    </row>
    <row r="9" spans="1:23" x14ac:dyDescent="0.3">
      <c r="A9" s="158" t="s">
        <v>92</v>
      </c>
      <c r="B9" s="132"/>
      <c r="C9" s="132"/>
      <c r="D9" s="158" t="s">
        <v>93</v>
      </c>
      <c r="E9" s="132"/>
      <c r="F9" s="158" t="s">
        <v>94</v>
      </c>
      <c r="G9" s="132"/>
      <c r="H9" s="10" t="s">
        <v>1</v>
      </c>
      <c r="I9" s="159" t="s">
        <v>2</v>
      </c>
      <c r="J9" s="132"/>
      <c r="K9" s="132"/>
      <c r="L9" s="132"/>
      <c r="M9" s="159" t="s">
        <v>95</v>
      </c>
      <c r="N9" s="132"/>
      <c r="O9" s="132"/>
      <c r="P9" s="132"/>
      <c r="Q9" s="132"/>
      <c r="R9" s="132"/>
      <c r="S9" s="132"/>
      <c r="T9" s="132"/>
      <c r="U9" s="10" t="s">
        <v>1</v>
      </c>
      <c r="V9" s="10" t="s">
        <v>1</v>
      </c>
      <c r="W9" s="10" t="s">
        <v>1</v>
      </c>
    </row>
    <row r="10" spans="1:23" x14ac:dyDescent="0.3">
      <c r="A10" s="151" t="s">
        <v>96</v>
      </c>
      <c r="B10" s="132"/>
      <c r="C10" s="132"/>
      <c r="D10" s="131" t="s">
        <v>97</v>
      </c>
      <c r="E10" s="132"/>
      <c r="F10" s="152">
        <v>46100</v>
      </c>
      <c r="G10" s="132"/>
      <c r="H10" s="10" t="s">
        <v>1</v>
      </c>
      <c r="I10" s="151" t="s">
        <v>98</v>
      </c>
      <c r="J10" s="132"/>
      <c r="K10" s="132"/>
      <c r="L10" s="132"/>
      <c r="M10" s="131" t="s">
        <v>99</v>
      </c>
      <c r="N10" s="132"/>
      <c r="O10" s="132"/>
      <c r="P10" s="132"/>
      <c r="Q10" s="132"/>
      <c r="R10" s="132"/>
      <c r="S10" s="132"/>
      <c r="T10" s="132"/>
      <c r="U10" s="10" t="s">
        <v>1</v>
      </c>
      <c r="V10" s="10" t="s">
        <v>1</v>
      </c>
      <c r="W10" s="10" t="s">
        <v>1</v>
      </c>
    </row>
    <row r="11" spans="1:23" x14ac:dyDescent="0.3">
      <c r="A11" s="151" t="s">
        <v>100</v>
      </c>
      <c r="B11" s="132"/>
      <c r="C11" s="132"/>
      <c r="D11" s="131" t="s">
        <v>101</v>
      </c>
      <c r="E11" s="132"/>
      <c r="F11" s="152">
        <v>46100</v>
      </c>
      <c r="G11" s="132"/>
      <c r="H11" s="10" t="s">
        <v>1</v>
      </c>
      <c r="I11" s="151" t="s">
        <v>102</v>
      </c>
      <c r="J11" s="132"/>
      <c r="K11" s="132"/>
      <c r="L11" s="132"/>
      <c r="M11" s="131" t="s">
        <v>103</v>
      </c>
      <c r="N11" s="132"/>
      <c r="O11" s="132"/>
      <c r="P11" s="132"/>
      <c r="Q11" s="132"/>
      <c r="R11" s="132"/>
      <c r="S11" s="132"/>
      <c r="T11" s="132"/>
      <c r="U11" s="10" t="s">
        <v>1</v>
      </c>
      <c r="V11" s="10" t="s">
        <v>1</v>
      </c>
      <c r="W11" s="10" t="s">
        <v>1</v>
      </c>
    </row>
    <row r="12" spans="1:23" x14ac:dyDescent="0.3">
      <c r="A12" s="151" t="s">
        <v>104</v>
      </c>
      <c r="B12" s="132"/>
      <c r="C12" s="132"/>
      <c r="D12" s="131" t="s">
        <v>97</v>
      </c>
      <c r="E12" s="132"/>
      <c r="F12" s="152">
        <v>46101</v>
      </c>
      <c r="G12" s="132"/>
      <c r="H12" s="10" t="s">
        <v>1</v>
      </c>
      <c r="I12" s="151" t="s">
        <v>105</v>
      </c>
      <c r="J12" s="132"/>
      <c r="K12" s="132"/>
      <c r="L12" s="132"/>
      <c r="M12" s="131" t="s">
        <v>106</v>
      </c>
      <c r="N12" s="132"/>
      <c r="O12" s="132"/>
      <c r="P12" s="132"/>
      <c r="Q12" s="132"/>
      <c r="R12" s="132"/>
      <c r="S12" s="132"/>
      <c r="T12" s="132"/>
      <c r="U12" s="10" t="s">
        <v>1</v>
      </c>
      <c r="V12" s="10" t="s">
        <v>1</v>
      </c>
      <c r="W12" s="10" t="s">
        <v>1</v>
      </c>
    </row>
    <row r="13" spans="1:23" x14ac:dyDescent="0.3">
      <c r="A13" s="151" t="s">
        <v>107</v>
      </c>
      <c r="B13" s="132"/>
      <c r="C13" s="132"/>
      <c r="D13" s="131" t="s">
        <v>108</v>
      </c>
      <c r="E13" s="132"/>
      <c r="F13" s="152">
        <v>46101</v>
      </c>
      <c r="G13" s="132"/>
      <c r="H13" s="10" t="s">
        <v>1</v>
      </c>
      <c r="I13" s="151" t="s">
        <v>109</v>
      </c>
      <c r="J13" s="132"/>
      <c r="K13" s="132"/>
      <c r="L13" s="132"/>
      <c r="M13" s="131"/>
      <c r="N13" s="132"/>
      <c r="O13" s="132"/>
      <c r="P13" s="132"/>
      <c r="Q13" s="132"/>
      <c r="R13" s="132"/>
      <c r="S13" s="132"/>
      <c r="T13" s="132"/>
      <c r="U13" s="10" t="s">
        <v>1</v>
      </c>
      <c r="V13" s="10" t="s">
        <v>1</v>
      </c>
      <c r="W13" s="10" t="s">
        <v>1</v>
      </c>
    </row>
    <row r="14" spans="1:23" x14ac:dyDescent="0.3">
      <c r="A14" s="151" t="s">
        <v>110</v>
      </c>
      <c r="B14" s="132"/>
      <c r="C14" s="132"/>
      <c r="D14" s="131" t="s">
        <v>111</v>
      </c>
      <c r="E14" s="132"/>
      <c r="F14" s="152">
        <v>46102</v>
      </c>
      <c r="G14" s="132"/>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53" t="s">
        <v>112</v>
      </c>
      <c r="B15" s="132"/>
      <c r="C15" s="132"/>
      <c r="D15" s="132"/>
      <c r="E15" s="132"/>
      <c r="F15" s="132"/>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33.6" x14ac:dyDescent="0.3">
      <c r="A17" s="16">
        <v>1</v>
      </c>
      <c r="B17" s="17" t="s">
        <v>136</v>
      </c>
      <c r="C17" s="17" t="s">
        <v>137</v>
      </c>
      <c r="D17" s="17" t="s">
        <v>138</v>
      </c>
      <c r="E17" s="17" t="s">
        <v>139</v>
      </c>
      <c r="F17" s="17" t="s">
        <v>140</v>
      </c>
      <c r="G17" s="17" t="s">
        <v>140</v>
      </c>
      <c r="H17" s="17" t="s">
        <v>141</v>
      </c>
      <c r="I17" s="18">
        <v>221</v>
      </c>
      <c r="J17" s="17" t="s">
        <v>142</v>
      </c>
      <c r="K17" s="18">
        <v>3.49</v>
      </c>
      <c r="L17" s="18">
        <v>771.29</v>
      </c>
      <c r="M17" s="18">
        <v>0</v>
      </c>
      <c r="N17" s="18">
        <v>3.49</v>
      </c>
      <c r="O17" s="18">
        <v>771.29</v>
      </c>
      <c r="P17" s="17"/>
      <c r="Q17" s="17"/>
      <c r="R17" s="18">
        <v>3</v>
      </c>
      <c r="S17" s="17" t="s">
        <v>143</v>
      </c>
      <c r="T17" s="18">
        <v>51.93</v>
      </c>
      <c r="U17" s="18">
        <v>57.73</v>
      </c>
      <c r="V17" s="18">
        <v>0.23499999999999999</v>
      </c>
      <c r="W17" s="18">
        <v>0.26100000000000001</v>
      </c>
    </row>
    <row r="18" spans="1:23" ht="33.6" x14ac:dyDescent="0.3">
      <c r="A18" s="16">
        <v>2</v>
      </c>
      <c r="B18" s="17" t="s">
        <v>144</v>
      </c>
      <c r="C18" s="17" t="s">
        <v>137</v>
      </c>
      <c r="D18" s="17" t="s">
        <v>145</v>
      </c>
      <c r="E18" s="17" t="s">
        <v>139</v>
      </c>
      <c r="F18" s="17" t="s">
        <v>140</v>
      </c>
      <c r="G18" s="17" t="s">
        <v>140</v>
      </c>
      <c r="H18" s="17" t="s">
        <v>141</v>
      </c>
      <c r="I18" s="18">
        <v>259</v>
      </c>
      <c r="J18" s="17" t="s">
        <v>142</v>
      </c>
      <c r="K18" s="18">
        <v>3.49</v>
      </c>
      <c r="L18" s="18">
        <v>903.91</v>
      </c>
      <c r="M18" s="18">
        <v>0</v>
      </c>
      <c r="N18" s="18">
        <v>3.49</v>
      </c>
      <c r="O18" s="18">
        <v>903.91</v>
      </c>
      <c r="P18" s="17"/>
      <c r="Q18" s="17"/>
      <c r="R18" s="18">
        <v>4</v>
      </c>
      <c r="S18" s="17" t="s">
        <v>143</v>
      </c>
      <c r="T18" s="18">
        <v>62.68</v>
      </c>
      <c r="U18" s="18">
        <v>70.41</v>
      </c>
      <c r="V18" s="18">
        <v>0.24199999999999999</v>
      </c>
      <c r="W18" s="18">
        <v>0.27200000000000002</v>
      </c>
    </row>
    <row r="19" spans="1:23" ht="33.6" x14ac:dyDescent="0.3">
      <c r="A19" s="16">
        <v>3</v>
      </c>
      <c r="B19" s="17" t="s">
        <v>144</v>
      </c>
      <c r="C19" s="17" t="s">
        <v>137</v>
      </c>
      <c r="D19" s="17" t="s">
        <v>146</v>
      </c>
      <c r="E19" s="17" t="s">
        <v>139</v>
      </c>
      <c r="F19" s="17" t="s">
        <v>140</v>
      </c>
      <c r="G19" s="17" t="s">
        <v>140</v>
      </c>
      <c r="H19" s="17" t="s">
        <v>141</v>
      </c>
      <c r="I19" s="18">
        <v>345</v>
      </c>
      <c r="J19" s="17" t="s">
        <v>142</v>
      </c>
      <c r="K19" s="18">
        <v>3.49</v>
      </c>
      <c r="L19" s="18">
        <v>1204.05</v>
      </c>
      <c r="M19" s="18">
        <v>0</v>
      </c>
      <c r="N19" s="18">
        <v>3.49</v>
      </c>
      <c r="O19" s="18">
        <v>1204.05</v>
      </c>
      <c r="P19" s="17"/>
      <c r="Q19" s="17"/>
      <c r="R19" s="18">
        <v>5</v>
      </c>
      <c r="S19" s="17" t="s">
        <v>143</v>
      </c>
      <c r="T19" s="18">
        <v>85.56</v>
      </c>
      <c r="U19" s="18">
        <v>95.22</v>
      </c>
      <c r="V19" s="18">
        <v>0.248</v>
      </c>
      <c r="W19" s="18">
        <v>0.27600000000000002</v>
      </c>
    </row>
    <row r="20" spans="1:23" ht="42" x14ac:dyDescent="0.3">
      <c r="A20" s="16">
        <v>4</v>
      </c>
      <c r="B20" s="17" t="s">
        <v>144</v>
      </c>
      <c r="C20" s="17" t="s">
        <v>137</v>
      </c>
      <c r="D20" s="17" t="s">
        <v>147</v>
      </c>
      <c r="E20" s="17" t="s">
        <v>139</v>
      </c>
      <c r="F20" s="17" t="s">
        <v>140</v>
      </c>
      <c r="G20" s="17" t="s">
        <v>140</v>
      </c>
      <c r="H20" s="17" t="s">
        <v>141</v>
      </c>
      <c r="I20" s="18">
        <v>414</v>
      </c>
      <c r="J20" s="17" t="s">
        <v>142</v>
      </c>
      <c r="K20" s="18">
        <v>3.49</v>
      </c>
      <c r="L20" s="18">
        <v>1444.86</v>
      </c>
      <c r="M20" s="18">
        <v>0</v>
      </c>
      <c r="N20" s="18">
        <v>3.49</v>
      </c>
      <c r="O20" s="18">
        <v>1444.86</v>
      </c>
      <c r="P20" s="17"/>
      <c r="Q20" s="17"/>
      <c r="R20" s="18">
        <v>6</v>
      </c>
      <c r="S20" s="17" t="s">
        <v>143</v>
      </c>
      <c r="T20" s="18">
        <v>109.71</v>
      </c>
      <c r="U20" s="18">
        <v>121.3</v>
      </c>
      <c r="V20" s="18">
        <v>0.26500000000000001</v>
      </c>
      <c r="W20" s="18">
        <v>0.29299999999999998</v>
      </c>
    </row>
    <row r="21" spans="1:23" ht="42" x14ac:dyDescent="0.3">
      <c r="A21" s="16">
        <v>5</v>
      </c>
      <c r="B21" s="17" t="s">
        <v>144</v>
      </c>
      <c r="C21" s="17" t="s">
        <v>137</v>
      </c>
      <c r="D21" s="17" t="s">
        <v>148</v>
      </c>
      <c r="E21" s="17" t="s">
        <v>139</v>
      </c>
      <c r="F21" s="17" t="s">
        <v>140</v>
      </c>
      <c r="G21" s="17" t="s">
        <v>140</v>
      </c>
      <c r="H21" s="17" t="s">
        <v>141</v>
      </c>
      <c r="I21" s="18">
        <v>209</v>
      </c>
      <c r="J21" s="17" t="s">
        <v>142</v>
      </c>
      <c r="K21" s="18">
        <v>3.49</v>
      </c>
      <c r="L21" s="18">
        <v>729.41</v>
      </c>
      <c r="M21" s="18">
        <v>0</v>
      </c>
      <c r="N21" s="18">
        <v>3.49</v>
      </c>
      <c r="O21" s="18">
        <v>729.41</v>
      </c>
      <c r="P21" s="17"/>
      <c r="Q21" s="17"/>
      <c r="R21" s="18">
        <v>3</v>
      </c>
      <c r="S21" s="17" t="s">
        <v>143</v>
      </c>
      <c r="T21" s="18">
        <v>59.98</v>
      </c>
      <c r="U21" s="18">
        <v>65.78</v>
      </c>
      <c r="V21" s="18">
        <v>0.28699999999999998</v>
      </c>
      <c r="W21" s="18">
        <v>0.315</v>
      </c>
    </row>
    <row r="22" spans="1:23" ht="42" x14ac:dyDescent="0.3">
      <c r="A22" s="16">
        <v>6</v>
      </c>
      <c r="B22" s="17" t="s">
        <v>144</v>
      </c>
      <c r="C22" s="17" t="s">
        <v>137</v>
      </c>
      <c r="D22" s="17" t="s">
        <v>149</v>
      </c>
      <c r="E22" s="17" t="s">
        <v>139</v>
      </c>
      <c r="F22" s="17" t="s">
        <v>140</v>
      </c>
      <c r="G22" s="17" t="s">
        <v>140</v>
      </c>
      <c r="H22" s="17" t="s">
        <v>141</v>
      </c>
      <c r="I22" s="18">
        <v>242</v>
      </c>
      <c r="J22" s="17" t="s">
        <v>142</v>
      </c>
      <c r="K22" s="18">
        <v>3.49</v>
      </c>
      <c r="L22" s="18">
        <v>844.58</v>
      </c>
      <c r="M22" s="18">
        <v>0</v>
      </c>
      <c r="N22" s="18">
        <v>3.49</v>
      </c>
      <c r="O22" s="18">
        <v>844.58</v>
      </c>
      <c r="P22" s="17"/>
      <c r="Q22" s="17"/>
      <c r="R22" s="18">
        <v>3</v>
      </c>
      <c r="S22" s="17" t="s">
        <v>143</v>
      </c>
      <c r="T22" s="18">
        <v>71.39</v>
      </c>
      <c r="U22" s="18">
        <v>77.19</v>
      </c>
      <c r="V22" s="18">
        <v>0.29499999999999998</v>
      </c>
      <c r="W22" s="18">
        <v>0.31900000000000001</v>
      </c>
    </row>
    <row r="23" spans="1:23" ht="33.6" x14ac:dyDescent="0.3">
      <c r="A23" s="16">
        <v>7</v>
      </c>
      <c r="B23" s="17" t="s">
        <v>150</v>
      </c>
      <c r="C23" s="17" t="s">
        <v>151</v>
      </c>
      <c r="D23" s="17" t="s">
        <v>138</v>
      </c>
      <c r="E23" s="17" t="s">
        <v>152</v>
      </c>
      <c r="F23" s="17" t="s">
        <v>153</v>
      </c>
      <c r="G23" s="17" t="s">
        <v>153</v>
      </c>
      <c r="H23" s="17" t="s">
        <v>141</v>
      </c>
      <c r="I23" s="18">
        <v>435</v>
      </c>
      <c r="J23" s="17" t="s">
        <v>142</v>
      </c>
      <c r="K23" s="18">
        <v>1.2</v>
      </c>
      <c r="L23" s="18">
        <v>522</v>
      </c>
      <c r="M23" s="18">
        <v>0</v>
      </c>
      <c r="N23" s="18">
        <v>1.2</v>
      </c>
      <c r="O23" s="18">
        <v>522</v>
      </c>
      <c r="P23" s="17"/>
      <c r="Q23" s="17"/>
      <c r="R23" s="18">
        <v>5</v>
      </c>
      <c r="S23" s="17" t="s">
        <v>143</v>
      </c>
      <c r="T23" s="18">
        <v>62.2</v>
      </c>
      <c r="U23" s="18">
        <v>71.86</v>
      </c>
      <c r="V23" s="18">
        <v>0.14299999999999999</v>
      </c>
      <c r="W23" s="18">
        <v>0.16500000000000001</v>
      </c>
    </row>
    <row r="24" spans="1:23" ht="33.6" x14ac:dyDescent="0.3">
      <c r="A24" s="16">
        <v>8</v>
      </c>
      <c r="B24" s="17" t="s">
        <v>154</v>
      </c>
      <c r="C24" s="17" t="s">
        <v>151</v>
      </c>
      <c r="D24" s="17" t="s">
        <v>145</v>
      </c>
      <c r="E24" s="17" t="s">
        <v>152</v>
      </c>
      <c r="F24" s="17" t="s">
        <v>153</v>
      </c>
      <c r="G24" s="17" t="s">
        <v>153</v>
      </c>
      <c r="H24" s="17" t="s">
        <v>141</v>
      </c>
      <c r="I24" s="18">
        <v>609</v>
      </c>
      <c r="J24" s="17" t="s">
        <v>142</v>
      </c>
      <c r="K24" s="18">
        <v>1.2</v>
      </c>
      <c r="L24" s="18">
        <v>730.8</v>
      </c>
      <c r="M24" s="18">
        <v>0</v>
      </c>
      <c r="N24" s="18">
        <v>1.2</v>
      </c>
      <c r="O24" s="18">
        <v>730.8</v>
      </c>
      <c r="P24" s="17"/>
      <c r="Q24" s="17"/>
      <c r="R24" s="18">
        <v>7</v>
      </c>
      <c r="S24" s="17" t="s">
        <v>143</v>
      </c>
      <c r="T24" s="18">
        <v>96.22</v>
      </c>
      <c r="U24" s="18">
        <v>109.75</v>
      </c>
      <c r="V24" s="18">
        <v>0.158</v>
      </c>
      <c r="W24" s="18">
        <v>0.18</v>
      </c>
    </row>
    <row r="25" spans="1:23" ht="33.6" x14ac:dyDescent="0.3">
      <c r="A25" s="16">
        <v>9</v>
      </c>
      <c r="B25" s="17" t="s">
        <v>154</v>
      </c>
      <c r="C25" s="17" t="s">
        <v>151</v>
      </c>
      <c r="D25" s="17" t="s">
        <v>146</v>
      </c>
      <c r="E25" s="17" t="s">
        <v>152</v>
      </c>
      <c r="F25" s="17" t="s">
        <v>153</v>
      </c>
      <c r="G25" s="17" t="s">
        <v>153</v>
      </c>
      <c r="H25" s="17" t="s">
        <v>141</v>
      </c>
      <c r="I25" s="18">
        <v>1045</v>
      </c>
      <c r="J25" s="17" t="s">
        <v>142</v>
      </c>
      <c r="K25" s="18">
        <v>1.2</v>
      </c>
      <c r="L25" s="18">
        <v>1254</v>
      </c>
      <c r="M25" s="18">
        <v>0</v>
      </c>
      <c r="N25" s="18">
        <v>1.2</v>
      </c>
      <c r="O25" s="18">
        <v>1254</v>
      </c>
      <c r="P25" s="17"/>
      <c r="Q25" s="17"/>
      <c r="R25" s="18">
        <v>12</v>
      </c>
      <c r="S25" s="17" t="s">
        <v>143</v>
      </c>
      <c r="T25" s="18">
        <v>172.43</v>
      </c>
      <c r="U25" s="18">
        <v>195.62</v>
      </c>
      <c r="V25" s="18">
        <v>0.16500000000000001</v>
      </c>
      <c r="W25" s="18">
        <v>0.187</v>
      </c>
    </row>
    <row r="26" spans="1:23" ht="42" x14ac:dyDescent="0.3">
      <c r="A26" s="16">
        <v>10</v>
      </c>
      <c r="B26" s="17" t="s">
        <v>154</v>
      </c>
      <c r="C26" s="17" t="s">
        <v>151</v>
      </c>
      <c r="D26" s="17" t="s">
        <v>147</v>
      </c>
      <c r="E26" s="17" t="s">
        <v>152</v>
      </c>
      <c r="F26" s="17" t="s">
        <v>153</v>
      </c>
      <c r="G26" s="17" t="s">
        <v>153</v>
      </c>
      <c r="H26" s="17" t="s">
        <v>141</v>
      </c>
      <c r="I26" s="18">
        <v>914</v>
      </c>
      <c r="J26" s="17" t="s">
        <v>142</v>
      </c>
      <c r="K26" s="18">
        <v>1.2</v>
      </c>
      <c r="L26" s="18">
        <v>1096.8</v>
      </c>
      <c r="M26" s="18">
        <v>0</v>
      </c>
      <c r="N26" s="18">
        <v>1.2</v>
      </c>
      <c r="O26" s="18">
        <v>1096.8</v>
      </c>
      <c r="P26" s="17"/>
      <c r="Q26" s="17"/>
      <c r="R26" s="18">
        <v>10</v>
      </c>
      <c r="S26" s="17" t="s">
        <v>143</v>
      </c>
      <c r="T26" s="18">
        <v>161.78</v>
      </c>
      <c r="U26" s="18">
        <v>181.1</v>
      </c>
      <c r="V26" s="18">
        <v>0.17699999999999999</v>
      </c>
      <c r="W26" s="18">
        <v>0.19800000000000001</v>
      </c>
    </row>
    <row r="27" spans="1:23" ht="42" x14ac:dyDescent="0.3">
      <c r="A27" s="16">
        <v>11</v>
      </c>
      <c r="B27" s="17" t="s">
        <v>154</v>
      </c>
      <c r="C27" s="17" t="s">
        <v>151</v>
      </c>
      <c r="D27" s="17" t="s">
        <v>148</v>
      </c>
      <c r="E27" s="17" t="s">
        <v>152</v>
      </c>
      <c r="F27" s="17" t="s">
        <v>153</v>
      </c>
      <c r="G27" s="17" t="s">
        <v>153</v>
      </c>
      <c r="H27" s="17" t="s">
        <v>141</v>
      </c>
      <c r="I27" s="18">
        <v>784</v>
      </c>
      <c r="J27" s="17" t="s">
        <v>142</v>
      </c>
      <c r="K27" s="18">
        <v>1.2</v>
      </c>
      <c r="L27" s="18">
        <v>940.8</v>
      </c>
      <c r="M27" s="18">
        <v>0</v>
      </c>
      <c r="N27" s="18">
        <v>1.2</v>
      </c>
      <c r="O27" s="18">
        <v>940.8</v>
      </c>
      <c r="P27" s="17"/>
      <c r="Q27" s="17"/>
      <c r="R27" s="18">
        <v>9</v>
      </c>
      <c r="S27" s="17" t="s">
        <v>143</v>
      </c>
      <c r="T27" s="18">
        <v>148.18</v>
      </c>
      <c r="U27" s="18">
        <v>165.57</v>
      </c>
      <c r="V27" s="18">
        <v>0.189</v>
      </c>
      <c r="W27" s="18">
        <v>0.21099999999999999</v>
      </c>
    </row>
    <row r="28" spans="1:23" ht="42" x14ac:dyDescent="0.3">
      <c r="A28" s="16">
        <v>12</v>
      </c>
      <c r="B28" s="17" t="s">
        <v>154</v>
      </c>
      <c r="C28" s="17" t="s">
        <v>151</v>
      </c>
      <c r="D28" s="17" t="s">
        <v>149</v>
      </c>
      <c r="E28" s="17" t="s">
        <v>152</v>
      </c>
      <c r="F28" s="17" t="s">
        <v>153</v>
      </c>
      <c r="G28" s="17" t="s">
        <v>153</v>
      </c>
      <c r="H28" s="17" t="s">
        <v>141</v>
      </c>
      <c r="I28" s="18">
        <v>566</v>
      </c>
      <c r="J28" s="17" t="s">
        <v>142</v>
      </c>
      <c r="K28" s="18">
        <v>1.2</v>
      </c>
      <c r="L28" s="18">
        <v>679.2</v>
      </c>
      <c r="M28" s="18">
        <v>0</v>
      </c>
      <c r="N28" s="18">
        <v>1.2</v>
      </c>
      <c r="O28" s="18">
        <v>679.2</v>
      </c>
      <c r="P28" s="17"/>
      <c r="Q28" s="17"/>
      <c r="R28" s="18">
        <v>7</v>
      </c>
      <c r="S28" s="17" t="s">
        <v>143</v>
      </c>
      <c r="T28" s="18">
        <v>110.94</v>
      </c>
      <c r="U28" s="18">
        <v>124.47</v>
      </c>
      <c r="V28" s="18">
        <v>0.19600000000000001</v>
      </c>
      <c r="W28" s="18">
        <v>0.22</v>
      </c>
    </row>
    <row r="29" spans="1:23"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c r="T29" s="10" t="s">
        <v>1</v>
      </c>
      <c r="U29" s="10" t="s">
        <v>1</v>
      </c>
      <c r="V29" s="10" t="s">
        <v>1</v>
      </c>
      <c r="W29" s="10" t="s">
        <v>1</v>
      </c>
    </row>
    <row r="30" spans="1:23" ht="16.5" customHeight="1" x14ac:dyDescent="0.3">
      <c r="A30" s="154" t="s">
        <v>124</v>
      </c>
      <c r="B30" s="155"/>
      <c r="C30" s="156"/>
      <c r="D30" s="157" t="s">
        <v>155</v>
      </c>
      <c r="E30" s="155"/>
      <c r="F30" s="155"/>
      <c r="G30" s="155"/>
      <c r="H30" s="155"/>
      <c r="I30" s="155"/>
      <c r="J30" s="155"/>
      <c r="K30" s="155"/>
      <c r="L30" s="155"/>
      <c r="M30" s="155"/>
      <c r="N30" s="155"/>
      <c r="O30" s="155"/>
      <c r="P30" s="155"/>
      <c r="Q30" s="155"/>
      <c r="R30" s="155"/>
      <c r="S30" s="155"/>
      <c r="T30" s="155"/>
      <c r="U30" s="155"/>
      <c r="V30" s="155"/>
      <c r="W30" s="156"/>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30:C30"/>
    <mergeCell ref="D30:W3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8"/>
  <sheetViews>
    <sheetView showGridLines="0" workbookViewId="0">
      <selection activeCell="J49" sqref="J49:R53"/>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142" t="s">
        <v>19</v>
      </c>
      <c r="B1" s="132"/>
      <c r="C1" s="132"/>
      <c r="D1" s="132"/>
      <c r="E1" s="132"/>
      <c r="F1" s="132"/>
      <c r="G1" s="132"/>
      <c r="H1" s="132"/>
      <c r="I1" s="132"/>
      <c r="J1" s="132"/>
      <c r="K1" s="132"/>
      <c r="L1" s="132"/>
      <c r="M1" s="132"/>
      <c r="N1" s="132"/>
      <c r="O1" s="132"/>
      <c r="P1" s="132"/>
      <c r="Q1" s="132"/>
      <c r="R1" s="132"/>
      <c r="S1" s="132"/>
    </row>
    <row r="2" spans="1:19" ht="14.55" customHeight="1" x14ac:dyDescent="0.3">
      <c r="A2" s="150" t="s">
        <v>22</v>
      </c>
      <c r="B2" s="132"/>
      <c r="C2" s="132"/>
      <c r="D2" s="132"/>
      <c r="E2" s="132"/>
      <c r="F2" s="132"/>
      <c r="G2" s="132"/>
      <c r="H2" s="132"/>
      <c r="I2" s="132"/>
      <c r="J2" s="132"/>
      <c r="K2" s="132"/>
      <c r="L2" s="132"/>
      <c r="M2" s="132"/>
      <c r="N2" s="132"/>
      <c r="O2" s="132"/>
      <c r="P2" s="132"/>
      <c r="Q2" s="132"/>
      <c r="R2" s="132"/>
      <c r="S2" s="132"/>
    </row>
    <row r="3" spans="1:19" ht="14.55" customHeight="1" x14ac:dyDescent="0.3">
      <c r="A3" s="150" t="s">
        <v>25</v>
      </c>
      <c r="B3" s="132"/>
      <c r="C3" s="132"/>
      <c r="D3" s="132"/>
      <c r="E3" s="132"/>
      <c r="F3" s="132"/>
      <c r="G3" s="132"/>
      <c r="H3" s="132"/>
      <c r="I3" s="132"/>
      <c r="J3" s="132"/>
      <c r="K3" s="132"/>
      <c r="L3" s="132"/>
      <c r="M3" s="132"/>
      <c r="N3" s="132"/>
      <c r="O3" s="132"/>
      <c r="P3" s="132"/>
      <c r="Q3" s="132"/>
      <c r="R3" s="132"/>
      <c r="S3" s="132"/>
    </row>
    <row r="4" spans="1:19" ht="28.65" customHeight="1" x14ac:dyDescent="0.3">
      <c r="A4" s="144" t="s">
        <v>100</v>
      </c>
      <c r="B4" s="132"/>
      <c r="C4" s="132"/>
      <c r="D4" s="132"/>
      <c r="E4" s="132"/>
      <c r="F4" s="132"/>
      <c r="G4" s="132"/>
      <c r="H4" s="132"/>
      <c r="I4" s="132"/>
      <c r="J4" s="132"/>
      <c r="K4" s="132"/>
      <c r="L4" s="132"/>
      <c r="M4" s="132"/>
      <c r="N4" s="132"/>
      <c r="O4" s="132"/>
      <c r="P4" s="132"/>
      <c r="Q4" s="132"/>
      <c r="R4" s="132"/>
      <c r="S4" s="132"/>
    </row>
    <row r="5" spans="1:19" x14ac:dyDescent="0.3">
      <c r="A5" s="131" t="s">
        <v>156</v>
      </c>
      <c r="B5" s="132"/>
      <c r="C5" s="135" t="s">
        <v>101</v>
      </c>
      <c r="D5" s="132"/>
      <c r="E5" s="132"/>
      <c r="F5" s="10" t="s">
        <v>1</v>
      </c>
      <c r="G5" s="10" t="s">
        <v>1</v>
      </c>
      <c r="H5" s="10" t="s">
        <v>1</v>
      </c>
      <c r="I5" s="10" t="s">
        <v>1</v>
      </c>
      <c r="J5" s="10" t="s">
        <v>1</v>
      </c>
      <c r="K5" s="10" t="s">
        <v>1</v>
      </c>
      <c r="L5" s="10" t="s">
        <v>1</v>
      </c>
      <c r="M5" s="10" t="s">
        <v>1</v>
      </c>
      <c r="N5" s="10" t="s">
        <v>157</v>
      </c>
      <c r="O5" s="141">
        <v>46100</v>
      </c>
      <c r="P5" s="132"/>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131" t="s">
        <v>158</v>
      </c>
      <c r="B7" s="132"/>
      <c r="C7" s="135" t="s">
        <v>19</v>
      </c>
      <c r="D7" s="132"/>
      <c r="E7" s="132"/>
      <c r="F7" s="132"/>
      <c r="G7" s="132"/>
      <c r="H7" s="132"/>
      <c r="I7" s="132"/>
      <c r="J7" s="131" t="s">
        <v>159</v>
      </c>
      <c r="K7" s="132"/>
      <c r="L7" s="135" t="s">
        <v>53</v>
      </c>
      <c r="M7" s="132"/>
      <c r="N7" s="132"/>
      <c r="O7" s="132"/>
      <c r="P7" s="132"/>
      <c r="Q7" s="132"/>
      <c r="R7" s="132"/>
      <c r="S7" s="132"/>
    </row>
    <row r="8" spans="1:19" ht="28.05" customHeight="1" x14ac:dyDescent="0.3">
      <c r="A8" s="10" t="s">
        <v>1</v>
      </c>
      <c r="B8" s="10" t="s">
        <v>1</v>
      </c>
      <c r="C8" s="131" t="s">
        <v>22</v>
      </c>
      <c r="D8" s="132"/>
      <c r="E8" s="132"/>
      <c r="F8" s="132"/>
      <c r="G8" s="132"/>
      <c r="H8" s="132"/>
      <c r="I8" s="132"/>
      <c r="J8" s="10" t="s">
        <v>1</v>
      </c>
      <c r="K8" s="10" t="s">
        <v>1</v>
      </c>
      <c r="L8" s="131" t="s">
        <v>56</v>
      </c>
      <c r="M8" s="132"/>
      <c r="N8" s="132"/>
      <c r="O8" s="132"/>
      <c r="P8" s="132"/>
      <c r="Q8" s="132"/>
      <c r="R8" s="132"/>
      <c r="S8" s="132"/>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131" t="s">
        <v>160</v>
      </c>
      <c r="B10" s="132"/>
      <c r="C10" s="135" t="s">
        <v>29</v>
      </c>
      <c r="D10" s="132"/>
      <c r="E10" s="132"/>
      <c r="F10" s="132"/>
      <c r="G10" s="132"/>
      <c r="H10" s="132"/>
      <c r="I10" s="132"/>
      <c r="J10" s="131" t="s">
        <v>161</v>
      </c>
      <c r="K10" s="132"/>
      <c r="L10" s="135" t="s">
        <v>53</v>
      </c>
      <c r="M10" s="132"/>
      <c r="N10" s="132"/>
      <c r="O10" s="132"/>
      <c r="P10" s="132"/>
      <c r="Q10" s="132"/>
      <c r="R10" s="132"/>
      <c r="S10" s="132"/>
    </row>
    <row r="11" spans="1:19" ht="22.95" customHeight="1" x14ac:dyDescent="0.3">
      <c r="A11" s="10" t="s">
        <v>1</v>
      </c>
      <c r="B11" s="10" t="s">
        <v>1</v>
      </c>
      <c r="C11" s="131" t="s">
        <v>32</v>
      </c>
      <c r="D11" s="132"/>
      <c r="E11" s="132"/>
      <c r="F11" s="132"/>
      <c r="G11" s="132"/>
      <c r="H11" s="132"/>
      <c r="I11" s="132"/>
      <c r="J11" s="10" t="s">
        <v>1</v>
      </c>
      <c r="K11" s="10" t="s">
        <v>1</v>
      </c>
      <c r="L11" s="131" t="s">
        <v>56</v>
      </c>
      <c r="M11" s="132"/>
      <c r="N11" s="132"/>
      <c r="O11" s="132"/>
      <c r="P11" s="132"/>
      <c r="Q11" s="132"/>
      <c r="R11" s="132"/>
      <c r="S11" s="132"/>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131"/>
      <c r="B13" s="132"/>
      <c r="C13" s="131"/>
      <c r="D13" s="132"/>
      <c r="E13" s="132"/>
      <c r="F13" s="132"/>
      <c r="G13" s="132"/>
      <c r="H13" s="132"/>
      <c r="I13" s="132"/>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54.6" x14ac:dyDescent="0.3">
      <c r="A15" s="20" t="s">
        <v>163</v>
      </c>
      <c r="B15" s="20" t="s">
        <v>114</v>
      </c>
      <c r="C15" s="20" t="s">
        <v>116</v>
      </c>
      <c r="D15" s="20" t="s">
        <v>115</v>
      </c>
      <c r="E15" s="20" t="s">
        <v>118</v>
      </c>
      <c r="F15" s="20" t="s">
        <v>164</v>
      </c>
      <c r="G15" s="20" t="s">
        <v>165</v>
      </c>
      <c r="H15" s="20" t="s">
        <v>117</v>
      </c>
      <c r="I15" s="20" t="s">
        <v>121</v>
      </c>
      <c r="J15" s="20" t="s">
        <v>166</v>
      </c>
      <c r="K15" s="20" t="s">
        <v>128</v>
      </c>
      <c r="L15" s="20" t="s">
        <v>129</v>
      </c>
      <c r="M15" s="20" t="s">
        <v>167</v>
      </c>
      <c r="N15" s="20" t="s">
        <v>168</v>
      </c>
      <c r="O15" s="20" t="s">
        <v>125</v>
      </c>
      <c r="P15" s="20" t="s">
        <v>169</v>
      </c>
      <c r="Q15" s="20" t="s">
        <v>170</v>
      </c>
      <c r="R15" s="20" t="s">
        <v>171</v>
      </c>
      <c r="S15" s="20" t="s">
        <v>172</v>
      </c>
    </row>
    <row r="16" spans="1:19" ht="67.2" x14ac:dyDescent="0.3">
      <c r="A16" s="21">
        <v>1</v>
      </c>
      <c r="B16" s="22" t="s">
        <v>136</v>
      </c>
      <c r="C16" s="22" t="s">
        <v>138</v>
      </c>
      <c r="D16" s="22" t="s">
        <v>137</v>
      </c>
      <c r="E16" s="22" t="s">
        <v>140</v>
      </c>
      <c r="F16" s="22" t="s">
        <v>140</v>
      </c>
      <c r="G16" s="22" t="s">
        <v>173</v>
      </c>
      <c r="H16" s="22" t="s">
        <v>139</v>
      </c>
      <c r="I16" s="21">
        <v>221</v>
      </c>
      <c r="J16" s="22" t="s">
        <v>142</v>
      </c>
      <c r="K16" s="22" t="s">
        <v>360</v>
      </c>
      <c r="L16" s="22" t="s">
        <v>361</v>
      </c>
      <c r="M16" s="21">
        <v>3.49</v>
      </c>
      <c r="N16" s="21">
        <v>771.29</v>
      </c>
      <c r="O16" s="21">
        <v>0</v>
      </c>
      <c r="P16" s="21">
        <v>3.49</v>
      </c>
      <c r="Q16" s="21">
        <v>771.29</v>
      </c>
      <c r="R16" s="22" t="s">
        <v>141</v>
      </c>
      <c r="S16" s="22" t="s">
        <v>29</v>
      </c>
    </row>
    <row r="17" spans="1:19" ht="67.2" x14ac:dyDescent="0.3">
      <c r="A17" s="21">
        <v>2</v>
      </c>
      <c r="B17" s="22" t="s">
        <v>144</v>
      </c>
      <c r="C17" s="22" t="s">
        <v>145</v>
      </c>
      <c r="D17" s="22" t="s">
        <v>137</v>
      </c>
      <c r="E17" s="22" t="s">
        <v>140</v>
      </c>
      <c r="F17" s="22" t="s">
        <v>140</v>
      </c>
      <c r="G17" s="22" t="s">
        <v>173</v>
      </c>
      <c r="H17" s="22" t="s">
        <v>139</v>
      </c>
      <c r="I17" s="21">
        <v>259</v>
      </c>
      <c r="J17" s="22" t="s">
        <v>142</v>
      </c>
      <c r="K17" s="22" t="s">
        <v>360</v>
      </c>
      <c r="L17" s="22" t="s">
        <v>361</v>
      </c>
      <c r="M17" s="21">
        <v>3.49</v>
      </c>
      <c r="N17" s="21">
        <v>903.91</v>
      </c>
      <c r="O17" s="21">
        <v>0</v>
      </c>
      <c r="P17" s="21">
        <v>3.49</v>
      </c>
      <c r="Q17" s="21">
        <v>903.91</v>
      </c>
      <c r="R17" s="22" t="s">
        <v>141</v>
      </c>
      <c r="S17" s="22" t="s">
        <v>29</v>
      </c>
    </row>
    <row r="18" spans="1:19" ht="67.2" x14ac:dyDescent="0.3">
      <c r="A18" s="21">
        <v>3</v>
      </c>
      <c r="B18" s="22" t="s">
        <v>144</v>
      </c>
      <c r="C18" s="22" t="s">
        <v>146</v>
      </c>
      <c r="D18" s="22" t="s">
        <v>137</v>
      </c>
      <c r="E18" s="22" t="s">
        <v>140</v>
      </c>
      <c r="F18" s="22" t="s">
        <v>140</v>
      </c>
      <c r="G18" s="22" t="s">
        <v>173</v>
      </c>
      <c r="H18" s="22" t="s">
        <v>139</v>
      </c>
      <c r="I18" s="21">
        <v>345</v>
      </c>
      <c r="J18" s="22" t="s">
        <v>142</v>
      </c>
      <c r="K18" s="22" t="s">
        <v>360</v>
      </c>
      <c r="L18" s="22" t="s">
        <v>361</v>
      </c>
      <c r="M18" s="21">
        <v>3.49</v>
      </c>
      <c r="N18" s="21">
        <v>1204.05</v>
      </c>
      <c r="O18" s="21">
        <v>0</v>
      </c>
      <c r="P18" s="21">
        <v>3.49</v>
      </c>
      <c r="Q18" s="21">
        <v>1204.05</v>
      </c>
      <c r="R18" s="22" t="s">
        <v>141</v>
      </c>
      <c r="S18" s="22" t="s">
        <v>29</v>
      </c>
    </row>
    <row r="19" spans="1:19" ht="67.2" x14ac:dyDescent="0.3">
      <c r="A19" s="21">
        <v>4</v>
      </c>
      <c r="B19" s="22" t="s">
        <v>144</v>
      </c>
      <c r="C19" s="22" t="s">
        <v>147</v>
      </c>
      <c r="D19" s="22" t="s">
        <v>137</v>
      </c>
      <c r="E19" s="22" t="s">
        <v>140</v>
      </c>
      <c r="F19" s="22" t="s">
        <v>140</v>
      </c>
      <c r="G19" s="22" t="s">
        <v>173</v>
      </c>
      <c r="H19" s="22" t="s">
        <v>139</v>
      </c>
      <c r="I19" s="21">
        <v>414</v>
      </c>
      <c r="J19" s="22" t="s">
        <v>142</v>
      </c>
      <c r="K19" s="22" t="s">
        <v>360</v>
      </c>
      <c r="L19" s="22" t="s">
        <v>361</v>
      </c>
      <c r="M19" s="21">
        <v>3.49</v>
      </c>
      <c r="N19" s="21">
        <v>1444.86</v>
      </c>
      <c r="O19" s="21">
        <v>0</v>
      </c>
      <c r="P19" s="21">
        <v>3.49</v>
      </c>
      <c r="Q19" s="21">
        <v>1444.86</v>
      </c>
      <c r="R19" s="22" t="s">
        <v>141</v>
      </c>
      <c r="S19" s="22" t="s">
        <v>29</v>
      </c>
    </row>
    <row r="20" spans="1:19" ht="67.2" x14ac:dyDescent="0.3">
      <c r="A20" s="21">
        <v>5</v>
      </c>
      <c r="B20" s="22" t="s">
        <v>144</v>
      </c>
      <c r="C20" s="22" t="s">
        <v>148</v>
      </c>
      <c r="D20" s="22" t="s">
        <v>137</v>
      </c>
      <c r="E20" s="22" t="s">
        <v>140</v>
      </c>
      <c r="F20" s="22" t="s">
        <v>140</v>
      </c>
      <c r="G20" s="22" t="s">
        <v>173</v>
      </c>
      <c r="H20" s="22" t="s">
        <v>139</v>
      </c>
      <c r="I20" s="21">
        <v>209</v>
      </c>
      <c r="J20" s="22" t="s">
        <v>142</v>
      </c>
      <c r="K20" s="22" t="s">
        <v>360</v>
      </c>
      <c r="L20" s="22" t="s">
        <v>361</v>
      </c>
      <c r="M20" s="21">
        <v>3.49</v>
      </c>
      <c r="N20" s="21">
        <v>729.41</v>
      </c>
      <c r="O20" s="21">
        <v>0</v>
      </c>
      <c r="P20" s="21">
        <v>3.49</v>
      </c>
      <c r="Q20" s="21">
        <v>729.41</v>
      </c>
      <c r="R20" s="22" t="s">
        <v>141</v>
      </c>
      <c r="S20" s="22" t="s">
        <v>29</v>
      </c>
    </row>
    <row r="21" spans="1:19" ht="67.2" x14ac:dyDescent="0.3">
      <c r="A21" s="21">
        <v>6</v>
      </c>
      <c r="B21" s="22" t="s">
        <v>144</v>
      </c>
      <c r="C21" s="22" t="s">
        <v>149</v>
      </c>
      <c r="D21" s="22" t="s">
        <v>137</v>
      </c>
      <c r="E21" s="22" t="s">
        <v>140</v>
      </c>
      <c r="F21" s="22" t="s">
        <v>140</v>
      </c>
      <c r="G21" s="22" t="s">
        <v>173</v>
      </c>
      <c r="H21" s="22" t="s">
        <v>139</v>
      </c>
      <c r="I21" s="21">
        <v>242</v>
      </c>
      <c r="J21" s="22" t="s">
        <v>142</v>
      </c>
      <c r="K21" s="22" t="s">
        <v>360</v>
      </c>
      <c r="L21" s="22" t="s">
        <v>361</v>
      </c>
      <c r="M21" s="21">
        <v>3.49</v>
      </c>
      <c r="N21" s="21">
        <v>844.58</v>
      </c>
      <c r="O21" s="21">
        <v>0</v>
      </c>
      <c r="P21" s="21">
        <v>3.49</v>
      </c>
      <c r="Q21" s="21">
        <v>844.58</v>
      </c>
      <c r="R21" s="22" t="s">
        <v>141</v>
      </c>
      <c r="S21" s="22" t="s">
        <v>29</v>
      </c>
    </row>
    <row r="22" spans="1:19" ht="67.2" x14ac:dyDescent="0.3">
      <c r="A22" s="21">
        <v>7</v>
      </c>
      <c r="B22" s="22" t="s">
        <v>150</v>
      </c>
      <c r="C22" s="22" t="s">
        <v>138</v>
      </c>
      <c r="D22" s="22" t="s">
        <v>151</v>
      </c>
      <c r="E22" s="22" t="s">
        <v>153</v>
      </c>
      <c r="F22" s="22" t="s">
        <v>153</v>
      </c>
      <c r="G22" s="22" t="s">
        <v>174</v>
      </c>
      <c r="H22" s="22" t="s">
        <v>152</v>
      </c>
      <c r="I22" s="21">
        <v>435</v>
      </c>
      <c r="J22" s="22" t="s">
        <v>142</v>
      </c>
      <c r="K22" s="22" t="s">
        <v>360</v>
      </c>
      <c r="L22" s="22" t="s">
        <v>361</v>
      </c>
      <c r="M22" s="21">
        <v>1.2</v>
      </c>
      <c r="N22" s="21">
        <v>522</v>
      </c>
      <c r="O22" s="21">
        <v>0</v>
      </c>
      <c r="P22" s="21">
        <v>1.2</v>
      </c>
      <c r="Q22" s="21">
        <v>522</v>
      </c>
      <c r="R22" s="22" t="s">
        <v>141</v>
      </c>
      <c r="S22" s="22" t="s">
        <v>29</v>
      </c>
    </row>
    <row r="23" spans="1:19" ht="67.2" x14ac:dyDescent="0.3">
      <c r="A23" s="21">
        <v>8</v>
      </c>
      <c r="B23" s="22" t="s">
        <v>154</v>
      </c>
      <c r="C23" s="22" t="s">
        <v>145</v>
      </c>
      <c r="D23" s="22" t="s">
        <v>151</v>
      </c>
      <c r="E23" s="22" t="s">
        <v>153</v>
      </c>
      <c r="F23" s="22" t="s">
        <v>153</v>
      </c>
      <c r="G23" s="22" t="s">
        <v>174</v>
      </c>
      <c r="H23" s="22" t="s">
        <v>152</v>
      </c>
      <c r="I23" s="21">
        <v>609</v>
      </c>
      <c r="J23" s="22" t="s">
        <v>142</v>
      </c>
      <c r="K23" s="22" t="s">
        <v>360</v>
      </c>
      <c r="L23" s="22" t="s">
        <v>361</v>
      </c>
      <c r="M23" s="21">
        <v>1.2</v>
      </c>
      <c r="N23" s="21">
        <v>730.8</v>
      </c>
      <c r="O23" s="21">
        <v>0</v>
      </c>
      <c r="P23" s="21">
        <v>1.2</v>
      </c>
      <c r="Q23" s="21">
        <v>730.8</v>
      </c>
      <c r="R23" s="22" t="s">
        <v>141</v>
      </c>
      <c r="S23" s="22" t="s">
        <v>29</v>
      </c>
    </row>
    <row r="24" spans="1:19" ht="67.2" x14ac:dyDescent="0.3">
      <c r="A24" s="21">
        <v>9</v>
      </c>
      <c r="B24" s="22" t="s">
        <v>154</v>
      </c>
      <c r="C24" s="22" t="s">
        <v>146</v>
      </c>
      <c r="D24" s="22" t="s">
        <v>151</v>
      </c>
      <c r="E24" s="22" t="s">
        <v>153</v>
      </c>
      <c r="F24" s="22" t="s">
        <v>153</v>
      </c>
      <c r="G24" s="22" t="s">
        <v>174</v>
      </c>
      <c r="H24" s="22" t="s">
        <v>152</v>
      </c>
      <c r="I24" s="21">
        <v>1045</v>
      </c>
      <c r="J24" s="22" t="s">
        <v>142</v>
      </c>
      <c r="K24" s="22" t="s">
        <v>360</v>
      </c>
      <c r="L24" s="22" t="s">
        <v>361</v>
      </c>
      <c r="M24" s="21">
        <v>1.2</v>
      </c>
      <c r="N24" s="21">
        <v>1254</v>
      </c>
      <c r="O24" s="21">
        <v>0</v>
      </c>
      <c r="P24" s="21">
        <v>1.2</v>
      </c>
      <c r="Q24" s="21">
        <v>1254</v>
      </c>
      <c r="R24" s="22" t="s">
        <v>141</v>
      </c>
      <c r="S24" s="22" t="s">
        <v>29</v>
      </c>
    </row>
    <row r="25" spans="1:19" ht="67.2" x14ac:dyDescent="0.3">
      <c r="A25" s="21">
        <v>10</v>
      </c>
      <c r="B25" s="22" t="s">
        <v>154</v>
      </c>
      <c r="C25" s="22" t="s">
        <v>147</v>
      </c>
      <c r="D25" s="22" t="s">
        <v>151</v>
      </c>
      <c r="E25" s="22" t="s">
        <v>153</v>
      </c>
      <c r="F25" s="22" t="s">
        <v>153</v>
      </c>
      <c r="G25" s="22" t="s">
        <v>174</v>
      </c>
      <c r="H25" s="22" t="s">
        <v>152</v>
      </c>
      <c r="I25" s="21">
        <v>914</v>
      </c>
      <c r="J25" s="22" t="s">
        <v>142</v>
      </c>
      <c r="K25" s="22" t="s">
        <v>360</v>
      </c>
      <c r="L25" s="22" t="s">
        <v>361</v>
      </c>
      <c r="M25" s="21">
        <v>1.2</v>
      </c>
      <c r="N25" s="21">
        <v>1096.8</v>
      </c>
      <c r="O25" s="21">
        <v>0</v>
      </c>
      <c r="P25" s="21">
        <v>1.2</v>
      </c>
      <c r="Q25" s="21">
        <v>1096.8</v>
      </c>
      <c r="R25" s="22" t="s">
        <v>141</v>
      </c>
      <c r="S25" s="22" t="s">
        <v>29</v>
      </c>
    </row>
    <row r="26" spans="1:19" ht="67.2" x14ac:dyDescent="0.3">
      <c r="A26" s="21">
        <v>11</v>
      </c>
      <c r="B26" s="22" t="s">
        <v>154</v>
      </c>
      <c r="C26" s="22" t="s">
        <v>148</v>
      </c>
      <c r="D26" s="22" t="s">
        <v>151</v>
      </c>
      <c r="E26" s="22" t="s">
        <v>153</v>
      </c>
      <c r="F26" s="22" t="s">
        <v>153</v>
      </c>
      <c r="G26" s="22" t="s">
        <v>174</v>
      </c>
      <c r="H26" s="22" t="s">
        <v>152</v>
      </c>
      <c r="I26" s="21">
        <v>784</v>
      </c>
      <c r="J26" s="22" t="s">
        <v>142</v>
      </c>
      <c r="K26" s="22" t="s">
        <v>360</v>
      </c>
      <c r="L26" s="22" t="s">
        <v>361</v>
      </c>
      <c r="M26" s="21">
        <v>1.2</v>
      </c>
      <c r="N26" s="21">
        <v>940.8</v>
      </c>
      <c r="O26" s="21">
        <v>0</v>
      </c>
      <c r="P26" s="21">
        <v>1.2</v>
      </c>
      <c r="Q26" s="21">
        <v>940.8</v>
      </c>
      <c r="R26" s="22" t="s">
        <v>141</v>
      </c>
      <c r="S26" s="22" t="s">
        <v>29</v>
      </c>
    </row>
    <row r="27" spans="1:19" ht="67.2" x14ac:dyDescent="0.3">
      <c r="A27" s="21">
        <v>12</v>
      </c>
      <c r="B27" s="22" t="s">
        <v>154</v>
      </c>
      <c r="C27" s="22" t="s">
        <v>149</v>
      </c>
      <c r="D27" s="22" t="s">
        <v>151</v>
      </c>
      <c r="E27" s="22" t="s">
        <v>153</v>
      </c>
      <c r="F27" s="22" t="s">
        <v>153</v>
      </c>
      <c r="G27" s="22" t="s">
        <v>174</v>
      </c>
      <c r="H27" s="22" t="s">
        <v>152</v>
      </c>
      <c r="I27" s="21">
        <v>566</v>
      </c>
      <c r="J27" s="22" t="s">
        <v>142</v>
      </c>
      <c r="K27" s="22" t="s">
        <v>360</v>
      </c>
      <c r="L27" s="22" t="s">
        <v>361</v>
      </c>
      <c r="M27" s="21">
        <v>1.2</v>
      </c>
      <c r="N27" s="21">
        <v>679.2</v>
      </c>
      <c r="O27" s="21">
        <v>0</v>
      </c>
      <c r="P27" s="21">
        <v>1.2</v>
      </c>
      <c r="Q27" s="21">
        <v>679.2</v>
      </c>
      <c r="R27" s="22" t="s">
        <v>141</v>
      </c>
      <c r="S27" s="22" t="s">
        <v>29</v>
      </c>
    </row>
    <row r="28" spans="1:19" x14ac:dyDescent="0.3">
      <c r="A28" s="148" t="s">
        <v>175</v>
      </c>
      <c r="B28" s="139"/>
      <c r="C28" s="139"/>
      <c r="D28" s="24" t="s">
        <v>1</v>
      </c>
      <c r="E28" s="24" t="s">
        <v>1</v>
      </c>
      <c r="F28" s="24" t="s">
        <v>1</v>
      </c>
      <c r="G28" s="24" t="s">
        <v>1</v>
      </c>
      <c r="H28" s="24" t="s">
        <v>1</v>
      </c>
      <c r="I28" s="25">
        <v>6043</v>
      </c>
      <c r="J28" s="24" t="s">
        <v>1</v>
      </c>
      <c r="K28" s="24" t="s">
        <v>1</v>
      </c>
      <c r="L28" s="24" t="s">
        <v>1</v>
      </c>
      <c r="M28" s="23" t="s">
        <v>1</v>
      </c>
      <c r="N28" s="25">
        <v>11121.7</v>
      </c>
      <c r="O28" s="24" t="s">
        <v>1</v>
      </c>
      <c r="P28" s="23" t="s">
        <v>176</v>
      </c>
      <c r="Q28" s="25">
        <v>11121.7</v>
      </c>
      <c r="R28" s="24" t="s">
        <v>1</v>
      </c>
      <c r="S28" s="24" t="s">
        <v>1</v>
      </c>
    </row>
    <row r="29" spans="1:19" x14ac:dyDescent="0.3">
      <c r="A29" s="26" t="s">
        <v>1</v>
      </c>
      <c r="B29" s="26" t="s">
        <v>1</v>
      </c>
      <c r="C29" s="26" t="s">
        <v>1</v>
      </c>
      <c r="D29" s="26" t="s">
        <v>1</v>
      </c>
      <c r="E29" s="26" t="s">
        <v>1</v>
      </c>
      <c r="F29" s="26" t="s">
        <v>1</v>
      </c>
      <c r="G29" s="26" t="s">
        <v>1</v>
      </c>
      <c r="H29" s="26" t="s">
        <v>1</v>
      </c>
      <c r="I29" s="26" t="s">
        <v>1</v>
      </c>
      <c r="J29" s="26" t="s">
        <v>1</v>
      </c>
      <c r="K29" s="26" t="s">
        <v>1</v>
      </c>
      <c r="L29" s="26" t="s">
        <v>1</v>
      </c>
      <c r="M29" s="26" t="s">
        <v>1</v>
      </c>
      <c r="N29" s="26" t="s">
        <v>1</v>
      </c>
      <c r="O29" s="26" t="s">
        <v>1</v>
      </c>
      <c r="P29" s="26" t="s">
        <v>1</v>
      </c>
      <c r="Q29" s="26" t="s">
        <v>1</v>
      </c>
      <c r="R29" s="26" t="s">
        <v>1</v>
      </c>
      <c r="S29" s="26" t="s">
        <v>1</v>
      </c>
    </row>
    <row r="30" spans="1:19" ht="17.399999999999999" customHeight="1" x14ac:dyDescent="0.3">
      <c r="A30" s="149" t="s">
        <v>155</v>
      </c>
      <c r="B30" s="139"/>
      <c r="C30" s="139"/>
      <c r="D30" s="139"/>
      <c r="E30" s="139"/>
      <c r="F30" s="139"/>
      <c r="G30" s="139"/>
      <c r="H30" s="139"/>
      <c r="I30" s="139"/>
      <c r="J30" s="139"/>
      <c r="K30" s="139"/>
      <c r="L30" s="139"/>
      <c r="M30" s="139"/>
      <c r="N30" s="139"/>
      <c r="O30" s="139"/>
      <c r="P30" s="139"/>
      <c r="Q30" s="139"/>
      <c r="R30" s="139"/>
      <c r="S30" s="140"/>
    </row>
    <row r="31" spans="1:19" x14ac:dyDescent="0.3">
      <c r="A31" s="11" t="s">
        <v>1</v>
      </c>
      <c r="B31" s="11" t="s">
        <v>1</v>
      </c>
      <c r="C31" s="11" t="s">
        <v>1</v>
      </c>
      <c r="D31" s="10" t="s">
        <v>1</v>
      </c>
      <c r="E31" s="10" t="s">
        <v>1</v>
      </c>
      <c r="F31" s="10" t="s">
        <v>1</v>
      </c>
      <c r="G31" s="10" t="s">
        <v>1</v>
      </c>
      <c r="H31" s="10" t="s">
        <v>1</v>
      </c>
      <c r="I31" s="10" t="s">
        <v>1</v>
      </c>
      <c r="J31" s="131" t="s">
        <v>177</v>
      </c>
      <c r="K31" s="132"/>
      <c r="L31" s="135" t="s">
        <v>6</v>
      </c>
      <c r="M31" s="132"/>
      <c r="N31" s="132"/>
      <c r="O31" s="10" t="s">
        <v>157</v>
      </c>
      <c r="P31" s="141">
        <v>41990</v>
      </c>
      <c r="Q31" s="132"/>
      <c r="R31" s="10" t="s">
        <v>1</v>
      </c>
      <c r="S31" s="10" t="s">
        <v>1</v>
      </c>
    </row>
    <row r="32" spans="1:19" x14ac:dyDescent="0.3">
      <c r="A32" s="131" t="s">
        <v>178</v>
      </c>
      <c r="B32" s="132"/>
      <c r="C32" s="131" t="s">
        <v>49</v>
      </c>
      <c r="D32" s="132"/>
      <c r="E32" s="132"/>
      <c r="F32" s="132"/>
      <c r="G32" s="132"/>
      <c r="H32" s="132"/>
      <c r="I32" s="132"/>
      <c r="J32" s="10" t="s">
        <v>1</v>
      </c>
      <c r="K32" s="10" t="s">
        <v>1</v>
      </c>
      <c r="L32" s="10" t="s">
        <v>1</v>
      </c>
      <c r="M32" s="10" t="s">
        <v>1</v>
      </c>
      <c r="N32" s="10" t="s">
        <v>1</v>
      </c>
      <c r="O32" s="10" t="s">
        <v>1</v>
      </c>
      <c r="P32" s="10" t="s">
        <v>1</v>
      </c>
      <c r="Q32" s="10" t="s">
        <v>1</v>
      </c>
      <c r="R32" s="10" t="s">
        <v>1</v>
      </c>
      <c r="S32" s="10" t="s">
        <v>1</v>
      </c>
    </row>
    <row r="33" spans="1:19" ht="40.049999999999997" customHeight="1" x14ac:dyDescent="0.3">
      <c r="A33" s="131" t="s">
        <v>179</v>
      </c>
      <c r="B33" s="132"/>
      <c r="C33" s="131" t="s">
        <v>9</v>
      </c>
      <c r="D33" s="132"/>
      <c r="E33" s="132"/>
      <c r="F33" s="132"/>
      <c r="G33" s="132"/>
      <c r="H33" s="132"/>
      <c r="I33" s="132"/>
      <c r="J33" s="27" t="s">
        <v>180</v>
      </c>
      <c r="K33" s="131" t="s">
        <v>12</v>
      </c>
      <c r="L33" s="132"/>
      <c r="M33" s="132"/>
      <c r="N33" s="132"/>
      <c r="O33" s="132"/>
      <c r="P33" s="132"/>
      <c r="Q33" s="132"/>
      <c r="R33" s="132"/>
      <c r="S33" s="132"/>
    </row>
    <row r="34" spans="1:19" x14ac:dyDescent="0.3">
      <c r="A34" s="10" t="s">
        <v>1</v>
      </c>
      <c r="B34" s="10" t="s">
        <v>1</v>
      </c>
      <c r="C34" s="10" t="s">
        <v>1</v>
      </c>
      <c r="D34" s="10" t="s">
        <v>1</v>
      </c>
      <c r="E34" s="10" t="s">
        <v>1</v>
      </c>
      <c r="F34" s="10" t="s">
        <v>1</v>
      </c>
      <c r="G34" s="10" t="s">
        <v>1</v>
      </c>
      <c r="H34" s="10" t="s">
        <v>1</v>
      </c>
      <c r="I34" s="10" t="s">
        <v>1</v>
      </c>
      <c r="J34" s="10" t="s">
        <v>1</v>
      </c>
      <c r="K34" s="10" t="s">
        <v>1</v>
      </c>
      <c r="L34" s="10" t="s">
        <v>1</v>
      </c>
      <c r="M34" s="10" t="s">
        <v>1</v>
      </c>
      <c r="N34" s="10" t="s">
        <v>1</v>
      </c>
      <c r="O34" s="10" t="s">
        <v>1</v>
      </c>
      <c r="P34" s="10" t="s">
        <v>1</v>
      </c>
      <c r="Q34" s="10" t="s">
        <v>1</v>
      </c>
      <c r="R34" s="10" t="s">
        <v>1</v>
      </c>
      <c r="S34" s="10" t="s">
        <v>1</v>
      </c>
    </row>
    <row r="35" spans="1:19" x14ac:dyDescent="0.3">
      <c r="A35" s="135" t="s">
        <v>181</v>
      </c>
      <c r="B35" s="132"/>
      <c r="C35" s="132"/>
      <c r="D35" s="10" t="s">
        <v>1</v>
      </c>
      <c r="E35" s="10" t="s">
        <v>1</v>
      </c>
      <c r="F35" s="10" t="s">
        <v>1</v>
      </c>
      <c r="G35" s="10" t="s">
        <v>1</v>
      </c>
      <c r="H35" s="10" t="s">
        <v>1</v>
      </c>
      <c r="I35" s="10" t="s">
        <v>1</v>
      </c>
      <c r="J35" s="10" t="s">
        <v>1</v>
      </c>
      <c r="K35" s="10" t="s">
        <v>1</v>
      </c>
      <c r="L35" s="10" t="s">
        <v>1</v>
      </c>
      <c r="M35" s="10" t="s">
        <v>1</v>
      </c>
      <c r="N35" s="10" t="s">
        <v>1</v>
      </c>
      <c r="O35" s="10" t="s">
        <v>1</v>
      </c>
      <c r="P35" s="10" t="s">
        <v>1</v>
      </c>
      <c r="Q35" s="10" t="s">
        <v>1</v>
      </c>
      <c r="R35" s="10" t="s">
        <v>1</v>
      </c>
      <c r="S35" s="10" t="s">
        <v>1</v>
      </c>
    </row>
    <row r="36" spans="1:19" x14ac:dyDescent="0.3">
      <c r="A36" s="10" t="s">
        <v>1</v>
      </c>
      <c r="B36" s="11" t="s">
        <v>158</v>
      </c>
      <c r="C36" s="10" t="s">
        <v>1</v>
      </c>
      <c r="D36" s="10" t="s">
        <v>1</v>
      </c>
      <c r="E36" s="10" t="s">
        <v>1</v>
      </c>
      <c r="F36" s="10" t="s">
        <v>1</v>
      </c>
      <c r="G36" s="10" t="s">
        <v>1</v>
      </c>
      <c r="H36" s="10" t="s">
        <v>1</v>
      </c>
      <c r="I36" s="10" t="s">
        <v>1</v>
      </c>
      <c r="J36" s="10" t="s">
        <v>1</v>
      </c>
      <c r="K36" s="10" t="s">
        <v>1</v>
      </c>
      <c r="L36" s="11" t="s">
        <v>159</v>
      </c>
      <c r="M36" s="10" t="s">
        <v>1</v>
      </c>
      <c r="N36" s="10" t="s">
        <v>1</v>
      </c>
      <c r="O36" s="10" t="s">
        <v>1</v>
      </c>
      <c r="P36" s="10" t="s">
        <v>1</v>
      </c>
      <c r="Q36" s="10" t="s">
        <v>1</v>
      </c>
      <c r="R36" s="10" t="s">
        <v>1</v>
      </c>
      <c r="S36" s="10" t="s">
        <v>1</v>
      </c>
    </row>
    <row r="37" spans="1:19" ht="14.55" customHeight="1" x14ac:dyDescent="0.3">
      <c r="A37" s="131" t="s">
        <v>182</v>
      </c>
      <c r="B37" s="132"/>
      <c r="C37" s="131" t="s">
        <v>35</v>
      </c>
      <c r="D37" s="132"/>
      <c r="E37" s="132"/>
      <c r="F37" s="132"/>
      <c r="G37" s="132"/>
      <c r="H37" s="132"/>
      <c r="I37" s="132"/>
      <c r="J37" s="131" t="s">
        <v>182</v>
      </c>
      <c r="K37" s="132"/>
      <c r="L37" s="131" t="s">
        <v>61</v>
      </c>
      <c r="M37" s="132"/>
      <c r="N37" s="132"/>
      <c r="O37" s="132"/>
      <c r="P37" s="132"/>
      <c r="Q37" s="132"/>
      <c r="R37" s="132"/>
      <c r="S37" s="132"/>
    </row>
    <row r="38" spans="1:19" ht="14.4" customHeight="1" x14ac:dyDescent="0.3">
      <c r="A38" s="131" t="s">
        <v>183</v>
      </c>
      <c r="B38" s="132"/>
      <c r="C38" s="131" t="s">
        <v>41</v>
      </c>
      <c r="D38" s="132"/>
      <c r="E38" s="132"/>
      <c r="F38" s="132"/>
      <c r="G38" s="132"/>
      <c r="H38" s="132"/>
      <c r="I38" s="132"/>
      <c r="J38" s="131" t="s">
        <v>183</v>
      </c>
      <c r="K38" s="132"/>
      <c r="L38" s="131" t="s">
        <v>66</v>
      </c>
      <c r="M38" s="132"/>
      <c r="N38" s="132"/>
      <c r="O38" s="132"/>
      <c r="P38" s="132"/>
      <c r="Q38" s="132"/>
      <c r="R38" s="132"/>
      <c r="S38" s="132"/>
    </row>
    <row r="39" spans="1:19" ht="14.55" customHeight="1" x14ac:dyDescent="0.3">
      <c r="A39" s="131" t="s">
        <v>184</v>
      </c>
      <c r="B39" s="132"/>
      <c r="C39" s="131"/>
      <c r="D39" s="132"/>
      <c r="E39" s="132"/>
      <c r="F39" s="132"/>
      <c r="G39" s="132"/>
      <c r="H39" s="132"/>
      <c r="I39" s="132"/>
      <c r="J39" s="131" t="s">
        <v>184</v>
      </c>
      <c r="K39" s="132"/>
      <c r="L39" s="131"/>
      <c r="M39" s="132"/>
      <c r="N39" s="132"/>
      <c r="O39" s="132"/>
      <c r="P39" s="132"/>
      <c r="Q39" s="132"/>
      <c r="R39" s="132"/>
      <c r="S39" s="132"/>
    </row>
    <row r="40" spans="1:19" ht="14.55" customHeight="1" x14ac:dyDescent="0.3">
      <c r="A40" s="131" t="s">
        <v>185</v>
      </c>
      <c r="B40" s="132"/>
      <c r="C40" s="131" t="s">
        <v>38</v>
      </c>
      <c r="D40" s="132"/>
      <c r="E40" s="132"/>
      <c r="F40" s="132"/>
      <c r="G40" s="132"/>
      <c r="H40" s="132"/>
      <c r="I40" s="132"/>
      <c r="J40" s="147" t="s">
        <v>185</v>
      </c>
      <c r="K40" s="132"/>
      <c r="L40" s="131" t="s">
        <v>65</v>
      </c>
      <c r="M40" s="132"/>
      <c r="N40" s="132"/>
      <c r="O40" s="132"/>
      <c r="P40" s="132"/>
      <c r="Q40" s="132"/>
      <c r="R40" s="132"/>
      <c r="S40" s="132"/>
    </row>
    <row r="41" spans="1:19" x14ac:dyDescent="0.3">
      <c r="A41" s="10" t="s">
        <v>1</v>
      </c>
      <c r="B41" s="10" t="s">
        <v>1</v>
      </c>
      <c r="C41" s="10" t="s">
        <v>1</v>
      </c>
      <c r="D41" s="10" t="s">
        <v>1</v>
      </c>
      <c r="E41" s="10" t="s">
        <v>1</v>
      </c>
      <c r="F41" s="10" t="s">
        <v>1</v>
      </c>
      <c r="G41" s="10" t="s">
        <v>1</v>
      </c>
      <c r="H41" s="10" t="s">
        <v>1</v>
      </c>
      <c r="I41" s="10" t="s">
        <v>1</v>
      </c>
      <c r="J41" s="131" t="s">
        <v>186</v>
      </c>
      <c r="K41" s="132"/>
      <c r="L41" s="133"/>
      <c r="M41" s="132"/>
      <c r="N41" s="132"/>
      <c r="O41" s="132"/>
      <c r="P41" s="132"/>
      <c r="Q41" s="132"/>
      <c r="R41" s="132"/>
      <c r="S41" s="132"/>
    </row>
    <row r="42" spans="1:19" ht="14.55" customHeight="1" x14ac:dyDescent="0.3">
      <c r="A42" s="131" t="s">
        <v>187</v>
      </c>
      <c r="B42" s="132"/>
      <c r="C42" s="131" t="s">
        <v>19</v>
      </c>
      <c r="D42" s="132"/>
      <c r="E42" s="132"/>
      <c r="F42" s="132"/>
      <c r="G42" s="132"/>
      <c r="H42" s="132"/>
      <c r="I42" s="132"/>
      <c r="J42" s="131" t="s">
        <v>187</v>
      </c>
      <c r="K42" s="132"/>
      <c r="L42" s="131" t="s">
        <v>53</v>
      </c>
      <c r="M42" s="132"/>
      <c r="N42" s="132"/>
      <c r="O42" s="132"/>
      <c r="P42" s="132"/>
      <c r="Q42" s="132"/>
      <c r="R42" s="132"/>
      <c r="S42" s="132"/>
    </row>
    <row r="43" spans="1:19" ht="14.55" customHeight="1" x14ac:dyDescent="0.3">
      <c r="A43" s="131" t="s">
        <v>188</v>
      </c>
      <c r="B43" s="132"/>
      <c r="C43" s="131" t="s">
        <v>44</v>
      </c>
      <c r="D43" s="132"/>
      <c r="E43" s="132"/>
      <c r="F43" s="132"/>
      <c r="G43" s="132"/>
      <c r="H43" s="132"/>
      <c r="I43" s="132"/>
      <c r="J43" s="131" t="s">
        <v>188</v>
      </c>
      <c r="K43" s="132"/>
      <c r="L43" s="131" t="s">
        <v>69</v>
      </c>
      <c r="M43" s="132"/>
      <c r="N43" s="132"/>
      <c r="O43" s="132"/>
      <c r="P43" s="132"/>
      <c r="Q43" s="132"/>
      <c r="R43" s="132"/>
      <c r="S43" s="132"/>
    </row>
    <row r="44" spans="1:19" x14ac:dyDescent="0.3">
      <c r="A44" s="10" t="s">
        <v>1</v>
      </c>
      <c r="B44" s="10" t="s">
        <v>1</v>
      </c>
      <c r="C44" s="10" t="s">
        <v>1</v>
      </c>
      <c r="D44" s="10" t="s">
        <v>1</v>
      </c>
      <c r="E44" s="10" t="s">
        <v>1</v>
      </c>
      <c r="F44" s="10" t="s">
        <v>1</v>
      </c>
      <c r="G44" s="10" t="s">
        <v>1</v>
      </c>
      <c r="H44" s="10" t="s">
        <v>1</v>
      </c>
      <c r="I44" s="10" t="s">
        <v>1</v>
      </c>
      <c r="J44" s="147" t="s">
        <v>189</v>
      </c>
      <c r="K44" s="132"/>
      <c r="L44" s="131" t="s">
        <v>71</v>
      </c>
      <c r="M44" s="132"/>
      <c r="N44" s="132"/>
      <c r="O44" s="132"/>
      <c r="P44" s="132"/>
      <c r="Q44" s="132"/>
      <c r="R44" s="132"/>
      <c r="S44" s="132"/>
    </row>
    <row r="45" spans="1:19" ht="14.55" customHeight="1" x14ac:dyDescent="0.3">
      <c r="A45" s="131" t="s">
        <v>190</v>
      </c>
      <c r="B45" s="132"/>
      <c r="C45" s="131" t="s">
        <v>25</v>
      </c>
      <c r="D45" s="132"/>
      <c r="E45" s="132"/>
      <c r="F45" s="132"/>
      <c r="G45" s="132"/>
      <c r="H45" s="132"/>
      <c r="I45" s="132"/>
      <c r="J45" s="131" t="s">
        <v>190</v>
      </c>
      <c r="K45" s="132"/>
      <c r="L45" s="131" t="s">
        <v>59</v>
      </c>
      <c r="M45" s="132"/>
      <c r="N45" s="132"/>
      <c r="O45" s="132"/>
      <c r="P45" s="132"/>
      <c r="Q45" s="132"/>
      <c r="R45" s="132"/>
      <c r="S45" s="132"/>
    </row>
    <row r="46" spans="1:19" ht="14.55" customHeight="1" x14ac:dyDescent="0.3">
      <c r="A46" s="131" t="s">
        <v>191</v>
      </c>
      <c r="B46" s="132"/>
      <c r="C46" s="131" t="s">
        <v>22</v>
      </c>
      <c r="D46" s="132"/>
      <c r="E46" s="132"/>
      <c r="F46" s="132"/>
      <c r="G46" s="132"/>
      <c r="H46" s="132"/>
      <c r="I46" s="132"/>
      <c r="J46" s="131" t="s">
        <v>191</v>
      </c>
      <c r="K46" s="132"/>
      <c r="L46" s="131" t="s">
        <v>56</v>
      </c>
      <c r="M46" s="132"/>
      <c r="N46" s="132"/>
      <c r="O46" s="132"/>
      <c r="P46" s="132"/>
      <c r="Q46" s="132"/>
      <c r="R46" s="132"/>
      <c r="S46" s="132"/>
    </row>
    <row r="47" spans="1:19" ht="141.75" customHeight="1" x14ac:dyDescent="0.3">
      <c r="A47" s="132"/>
      <c r="B47" s="132"/>
      <c r="C47" s="132"/>
      <c r="D47" s="132"/>
      <c r="E47" s="132"/>
      <c r="F47" s="132"/>
      <c r="G47" s="132"/>
      <c r="H47" s="132"/>
      <c r="I47" s="132"/>
      <c r="J47" s="10" t="s">
        <v>1</v>
      </c>
      <c r="K47" s="132"/>
      <c r="L47" s="132"/>
      <c r="M47" s="132"/>
      <c r="N47" s="132"/>
      <c r="O47" s="132"/>
      <c r="P47" s="132"/>
      <c r="Q47" s="132"/>
      <c r="R47" s="132"/>
      <c r="S47" s="132"/>
    </row>
    <row r="48" spans="1:19" x14ac:dyDescent="0.3">
      <c r="A48" s="145" t="s">
        <v>158</v>
      </c>
      <c r="B48" s="146"/>
      <c r="C48" s="28" t="s">
        <v>1</v>
      </c>
      <c r="D48" s="28" t="s">
        <v>1</v>
      </c>
      <c r="E48" s="28" t="s">
        <v>1</v>
      </c>
      <c r="F48" s="10" t="s">
        <v>1</v>
      </c>
      <c r="G48" s="10" t="s">
        <v>1</v>
      </c>
      <c r="H48" s="10" t="s">
        <v>1</v>
      </c>
      <c r="I48" s="10" t="s">
        <v>1</v>
      </c>
      <c r="J48" s="10" t="s">
        <v>1</v>
      </c>
      <c r="K48" s="29" t="s">
        <v>159</v>
      </c>
      <c r="L48" s="29" t="s">
        <v>1</v>
      </c>
      <c r="M48" s="29" t="s">
        <v>1</v>
      </c>
      <c r="N48" s="29" t="s">
        <v>1</v>
      </c>
      <c r="O48" s="29" t="s">
        <v>1</v>
      </c>
      <c r="P48" s="29" t="s">
        <v>1</v>
      </c>
      <c r="Q48" s="10" t="s">
        <v>1</v>
      </c>
      <c r="R48" s="10" t="s">
        <v>1</v>
      </c>
      <c r="S48" s="10"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8:C28"/>
    <mergeCell ref="A30:S30"/>
    <mergeCell ref="J31:K31"/>
    <mergeCell ref="L31:N31"/>
    <mergeCell ref="P31:Q31"/>
    <mergeCell ref="A32:B32"/>
    <mergeCell ref="C32:I32"/>
    <mergeCell ref="A33:B33"/>
    <mergeCell ref="C33:I33"/>
    <mergeCell ref="K33:S33"/>
    <mergeCell ref="A35:C35"/>
    <mergeCell ref="A37:B37"/>
    <mergeCell ref="C37:I37"/>
    <mergeCell ref="J37:K37"/>
    <mergeCell ref="L37:S37"/>
    <mergeCell ref="A38:B38"/>
    <mergeCell ref="C38:I38"/>
    <mergeCell ref="J38:K38"/>
    <mergeCell ref="L38:S38"/>
    <mergeCell ref="A39:B39"/>
    <mergeCell ref="C39:I39"/>
    <mergeCell ref="J39:K39"/>
    <mergeCell ref="L39:S39"/>
    <mergeCell ref="A40:B40"/>
    <mergeCell ref="C40:I40"/>
    <mergeCell ref="J40:K40"/>
    <mergeCell ref="L40:S40"/>
    <mergeCell ref="J41:K41"/>
    <mergeCell ref="L41:S41"/>
    <mergeCell ref="A42:B42"/>
    <mergeCell ref="C42:I42"/>
    <mergeCell ref="J42:K42"/>
    <mergeCell ref="L42:S42"/>
    <mergeCell ref="A43:B43"/>
    <mergeCell ref="C43:I43"/>
    <mergeCell ref="J43:K43"/>
    <mergeCell ref="L43:S43"/>
    <mergeCell ref="J44:K44"/>
    <mergeCell ref="L44:S44"/>
    <mergeCell ref="A45:B45"/>
    <mergeCell ref="C45:I45"/>
    <mergeCell ref="J45:K45"/>
    <mergeCell ref="L45:S45"/>
    <mergeCell ref="A48:B48"/>
    <mergeCell ref="A46:B46"/>
    <mergeCell ref="C46:I46"/>
    <mergeCell ref="J46:K46"/>
    <mergeCell ref="L46:S46"/>
    <mergeCell ref="A47:I47"/>
    <mergeCell ref="K47:S47"/>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0"/>
  <sheetViews>
    <sheetView showGridLines="0" workbookViewId="0">
      <selection activeCell="J49" sqref="J49:P53"/>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142" t="s">
        <v>19</v>
      </c>
      <c r="B1" s="132"/>
      <c r="C1" s="132"/>
      <c r="D1" s="132"/>
      <c r="E1" s="132"/>
      <c r="F1" s="132"/>
      <c r="G1" s="132"/>
      <c r="H1" s="132"/>
      <c r="I1" s="132"/>
      <c r="J1" s="132"/>
      <c r="K1" s="132"/>
      <c r="L1" s="132"/>
      <c r="M1" s="132"/>
      <c r="N1" s="132"/>
      <c r="O1" s="132"/>
      <c r="P1" s="132"/>
      <c r="Q1" s="132"/>
      <c r="R1" s="132"/>
    </row>
    <row r="2" spans="1:18" ht="25.95" customHeight="1" x14ac:dyDescent="0.3">
      <c r="A2" s="143" t="s">
        <v>22</v>
      </c>
      <c r="B2" s="132"/>
      <c r="C2" s="132"/>
      <c r="D2" s="132"/>
      <c r="E2" s="132"/>
      <c r="F2" s="132"/>
      <c r="G2" s="132"/>
      <c r="H2" s="132"/>
      <c r="I2" s="132"/>
      <c r="J2" s="132"/>
      <c r="K2" s="132"/>
      <c r="L2" s="132"/>
      <c r="M2" s="132"/>
      <c r="N2" s="132"/>
      <c r="O2" s="132"/>
      <c r="P2" s="132"/>
      <c r="Q2" s="132"/>
      <c r="R2" s="132"/>
    </row>
    <row r="3" spans="1:18" ht="25.95" customHeight="1" x14ac:dyDescent="0.3">
      <c r="A3" s="143" t="s">
        <v>25</v>
      </c>
      <c r="B3" s="132"/>
      <c r="C3" s="132"/>
      <c r="D3" s="132"/>
      <c r="E3" s="132"/>
      <c r="F3" s="132"/>
      <c r="G3" s="132"/>
      <c r="H3" s="132"/>
      <c r="I3" s="132"/>
      <c r="J3" s="132"/>
      <c r="K3" s="132"/>
      <c r="L3" s="132"/>
      <c r="M3" s="132"/>
      <c r="N3" s="132"/>
      <c r="O3" s="132"/>
      <c r="P3" s="132"/>
      <c r="Q3" s="132"/>
      <c r="R3" s="132"/>
    </row>
    <row r="4" spans="1:18" ht="34.799999999999997" customHeight="1" x14ac:dyDescent="0.3">
      <c r="A4" s="144" t="s">
        <v>104</v>
      </c>
      <c r="B4" s="132"/>
      <c r="C4" s="132"/>
      <c r="D4" s="132"/>
      <c r="E4" s="132"/>
      <c r="F4" s="132"/>
      <c r="G4" s="132"/>
      <c r="H4" s="132"/>
      <c r="I4" s="132"/>
      <c r="J4" s="132"/>
      <c r="K4" s="132"/>
      <c r="L4" s="132"/>
      <c r="M4" s="132"/>
      <c r="N4" s="132"/>
      <c r="O4" s="132"/>
      <c r="P4" s="132"/>
      <c r="Q4" s="132"/>
      <c r="R4" s="132"/>
    </row>
    <row r="5" spans="1:18" x14ac:dyDescent="0.3">
      <c r="A5" s="131" t="s">
        <v>192</v>
      </c>
      <c r="B5" s="132"/>
      <c r="C5" s="132"/>
      <c r="D5" s="135" t="s">
        <v>97</v>
      </c>
      <c r="E5" s="132"/>
      <c r="F5" s="132"/>
      <c r="G5" s="10" t="s">
        <v>1</v>
      </c>
      <c r="H5" s="10" t="s">
        <v>1</v>
      </c>
      <c r="I5" s="10" t="s">
        <v>1</v>
      </c>
      <c r="J5" s="10" t="s">
        <v>1</v>
      </c>
      <c r="K5" s="10" t="s">
        <v>1</v>
      </c>
      <c r="L5" s="10" t="s">
        <v>1</v>
      </c>
      <c r="M5" s="10" t="s">
        <v>1</v>
      </c>
      <c r="N5" s="10" t="s">
        <v>1</v>
      </c>
      <c r="O5" s="10" t="s">
        <v>157</v>
      </c>
      <c r="P5" s="141">
        <v>46101</v>
      </c>
      <c r="Q5" s="132"/>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131" t="s">
        <v>158</v>
      </c>
      <c r="B7" s="132"/>
      <c r="C7" s="135" t="s">
        <v>19</v>
      </c>
      <c r="D7" s="132"/>
      <c r="E7" s="132"/>
      <c r="F7" s="132"/>
      <c r="G7" s="132"/>
      <c r="H7" s="132"/>
      <c r="I7" s="132"/>
      <c r="J7" s="10" t="s">
        <v>1</v>
      </c>
      <c r="K7" s="10" t="s">
        <v>159</v>
      </c>
      <c r="L7" s="135" t="s">
        <v>53</v>
      </c>
      <c r="M7" s="132"/>
      <c r="N7" s="132"/>
      <c r="O7" s="132"/>
      <c r="P7" s="132"/>
      <c r="Q7" s="132"/>
      <c r="R7" s="132"/>
    </row>
    <row r="8" spans="1:18" ht="25.05" customHeight="1" x14ac:dyDescent="0.3">
      <c r="A8" s="10" t="s">
        <v>1</v>
      </c>
      <c r="B8" s="10" t="s">
        <v>1</v>
      </c>
      <c r="C8" s="131" t="s">
        <v>22</v>
      </c>
      <c r="D8" s="132"/>
      <c r="E8" s="132"/>
      <c r="F8" s="132"/>
      <c r="G8" s="132"/>
      <c r="H8" s="132"/>
      <c r="I8" s="132"/>
      <c r="J8" s="10" t="s">
        <v>1</v>
      </c>
      <c r="K8" s="10" t="s">
        <v>1</v>
      </c>
      <c r="L8" s="131" t="s">
        <v>56</v>
      </c>
      <c r="M8" s="132"/>
      <c r="N8" s="132"/>
      <c r="O8" s="132"/>
      <c r="P8" s="132"/>
      <c r="Q8" s="132"/>
      <c r="R8" s="132"/>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131" t="s">
        <v>160</v>
      </c>
      <c r="B10" s="132"/>
      <c r="C10" s="135" t="s">
        <v>29</v>
      </c>
      <c r="D10" s="132"/>
      <c r="E10" s="132"/>
      <c r="F10" s="132"/>
      <c r="G10" s="132"/>
      <c r="H10" s="132"/>
      <c r="I10" s="132"/>
      <c r="J10" s="10" t="s">
        <v>1</v>
      </c>
      <c r="K10" s="10" t="s">
        <v>161</v>
      </c>
      <c r="L10" s="135" t="s">
        <v>53</v>
      </c>
      <c r="M10" s="132"/>
      <c r="N10" s="132"/>
      <c r="O10" s="132"/>
      <c r="P10" s="132"/>
      <c r="Q10" s="132"/>
      <c r="R10" s="132"/>
    </row>
    <row r="11" spans="1:18" ht="27" customHeight="1" x14ac:dyDescent="0.3">
      <c r="A11" s="10" t="s">
        <v>1</v>
      </c>
      <c r="B11" s="10" t="s">
        <v>1</v>
      </c>
      <c r="C11" s="131" t="s">
        <v>32</v>
      </c>
      <c r="D11" s="132"/>
      <c r="E11" s="132"/>
      <c r="F11" s="132"/>
      <c r="G11" s="132"/>
      <c r="H11" s="132"/>
      <c r="I11" s="132"/>
      <c r="J11" s="10" t="s">
        <v>1</v>
      </c>
      <c r="K11" s="10" t="s">
        <v>1</v>
      </c>
      <c r="L11" s="131" t="s">
        <v>56</v>
      </c>
      <c r="M11" s="132"/>
      <c r="N11" s="132"/>
      <c r="O11" s="132"/>
      <c r="P11" s="132"/>
      <c r="Q11" s="132"/>
      <c r="R11" s="132"/>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131"/>
      <c r="B13" s="132"/>
      <c r="C13" s="131"/>
      <c r="D13" s="132"/>
      <c r="E13" s="132"/>
      <c r="F13" s="132"/>
      <c r="G13" s="132"/>
      <c r="H13" s="132"/>
      <c r="I13" s="132"/>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76.8" x14ac:dyDescent="0.3">
      <c r="A15" s="30" t="s">
        <v>163</v>
      </c>
      <c r="B15" s="30" t="s">
        <v>114</v>
      </c>
      <c r="C15" s="30" t="s">
        <v>116</v>
      </c>
      <c r="D15" s="30" t="s">
        <v>115</v>
      </c>
      <c r="E15" s="30" t="s">
        <v>118</v>
      </c>
      <c r="F15" s="30" t="s">
        <v>164</v>
      </c>
      <c r="G15" s="30" t="s">
        <v>165</v>
      </c>
      <c r="H15" s="30" t="s">
        <v>117</v>
      </c>
      <c r="I15" s="30" t="s">
        <v>121</v>
      </c>
      <c r="J15" s="30" t="s">
        <v>193</v>
      </c>
      <c r="K15" s="30" t="s">
        <v>128</v>
      </c>
      <c r="L15" s="30" t="s">
        <v>129</v>
      </c>
      <c r="M15" s="30" t="s">
        <v>194</v>
      </c>
      <c r="N15" s="30" t="s">
        <v>167</v>
      </c>
      <c r="O15" s="30" t="s">
        <v>168</v>
      </c>
      <c r="P15" s="30" t="s">
        <v>125</v>
      </c>
      <c r="Q15" s="30" t="s">
        <v>169</v>
      </c>
      <c r="R15" s="30" t="s">
        <v>170</v>
      </c>
    </row>
    <row r="16" spans="1:18" ht="28.8" x14ac:dyDescent="0.3">
      <c r="A16" s="21">
        <v>1</v>
      </c>
      <c r="B16" s="22" t="s">
        <v>136</v>
      </c>
      <c r="C16" s="22" t="s">
        <v>138</v>
      </c>
      <c r="D16" s="22" t="s">
        <v>137</v>
      </c>
      <c r="E16" s="22" t="s">
        <v>140</v>
      </c>
      <c r="F16" s="22" t="s">
        <v>140</v>
      </c>
      <c r="G16" s="22" t="s">
        <v>1</v>
      </c>
      <c r="H16" s="22" t="s">
        <v>139</v>
      </c>
      <c r="I16" s="21">
        <v>221</v>
      </c>
      <c r="J16" s="22" t="s">
        <v>142</v>
      </c>
      <c r="K16" s="22" t="s">
        <v>360</v>
      </c>
      <c r="L16" s="22" t="s">
        <v>361</v>
      </c>
      <c r="M16" s="22"/>
      <c r="N16" s="21">
        <v>3.49</v>
      </c>
      <c r="O16" s="21">
        <v>771.29</v>
      </c>
      <c r="P16" s="21">
        <v>0</v>
      </c>
      <c r="Q16" s="21">
        <v>3.49</v>
      </c>
      <c r="R16" s="21">
        <v>771.29</v>
      </c>
    </row>
    <row r="17" spans="1:18" ht="28.8" x14ac:dyDescent="0.3">
      <c r="A17" s="21">
        <v>2</v>
      </c>
      <c r="B17" s="22" t="s">
        <v>144</v>
      </c>
      <c r="C17" s="22" t="s">
        <v>145</v>
      </c>
      <c r="D17" s="22" t="s">
        <v>137</v>
      </c>
      <c r="E17" s="22" t="s">
        <v>140</v>
      </c>
      <c r="F17" s="22" t="s">
        <v>140</v>
      </c>
      <c r="G17" s="22" t="s">
        <v>1</v>
      </c>
      <c r="H17" s="22" t="s">
        <v>139</v>
      </c>
      <c r="I17" s="21">
        <v>259</v>
      </c>
      <c r="J17" s="22" t="s">
        <v>142</v>
      </c>
      <c r="K17" s="22" t="s">
        <v>360</v>
      </c>
      <c r="L17" s="22" t="s">
        <v>361</v>
      </c>
      <c r="M17" s="22"/>
      <c r="N17" s="21">
        <v>3.49</v>
      </c>
      <c r="O17" s="21">
        <v>903.91</v>
      </c>
      <c r="P17" s="21">
        <v>0</v>
      </c>
      <c r="Q17" s="21">
        <v>3.49</v>
      </c>
      <c r="R17" s="21">
        <v>903.91</v>
      </c>
    </row>
    <row r="18" spans="1:18" ht="28.8" x14ac:dyDescent="0.3">
      <c r="A18" s="21">
        <v>3</v>
      </c>
      <c r="B18" s="22" t="s">
        <v>144</v>
      </c>
      <c r="C18" s="22" t="s">
        <v>146</v>
      </c>
      <c r="D18" s="22" t="s">
        <v>137</v>
      </c>
      <c r="E18" s="22" t="s">
        <v>140</v>
      </c>
      <c r="F18" s="22" t="s">
        <v>140</v>
      </c>
      <c r="G18" s="22" t="s">
        <v>1</v>
      </c>
      <c r="H18" s="22" t="s">
        <v>139</v>
      </c>
      <c r="I18" s="21">
        <v>345</v>
      </c>
      <c r="J18" s="22" t="s">
        <v>142</v>
      </c>
      <c r="K18" s="22" t="s">
        <v>360</v>
      </c>
      <c r="L18" s="22" t="s">
        <v>361</v>
      </c>
      <c r="M18" s="22"/>
      <c r="N18" s="21">
        <v>3.49</v>
      </c>
      <c r="O18" s="21">
        <v>1204.05</v>
      </c>
      <c r="P18" s="21">
        <v>0</v>
      </c>
      <c r="Q18" s="21">
        <v>3.49</v>
      </c>
      <c r="R18" s="21">
        <v>1204.05</v>
      </c>
    </row>
    <row r="19" spans="1:18" ht="28.8" x14ac:dyDescent="0.3">
      <c r="A19" s="21">
        <v>4</v>
      </c>
      <c r="B19" s="22" t="s">
        <v>144</v>
      </c>
      <c r="C19" s="22" t="s">
        <v>147</v>
      </c>
      <c r="D19" s="22" t="s">
        <v>137</v>
      </c>
      <c r="E19" s="22" t="s">
        <v>140</v>
      </c>
      <c r="F19" s="22" t="s">
        <v>140</v>
      </c>
      <c r="G19" s="22" t="s">
        <v>1</v>
      </c>
      <c r="H19" s="22" t="s">
        <v>139</v>
      </c>
      <c r="I19" s="21">
        <v>414</v>
      </c>
      <c r="J19" s="22" t="s">
        <v>142</v>
      </c>
      <c r="K19" s="22" t="s">
        <v>360</v>
      </c>
      <c r="L19" s="22" t="s">
        <v>361</v>
      </c>
      <c r="M19" s="22"/>
      <c r="N19" s="21">
        <v>3.49</v>
      </c>
      <c r="O19" s="21">
        <v>1444.86</v>
      </c>
      <c r="P19" s="21">
        <v>0</v>
      </c>
      <c r="Q19" s="21">
        <v>3.49</v>
      </c>
      <c r="R19" s="21">
        <v>1444.86</v>
      </c>
    </row>
    <row r="20" spans="1:18" ht="28.8" x14ac:dyDescent="0.3">
      <c r="A20" s="21">
        <v>5</v>
      </c>
      <c r="B20" s="22" t="s">
        <v>144</v>
      </c>
      <c r="C20" s="22" t="s">
        <v>148</v>
      </c>
      <c r="D20" s="22" t="s">
        <v>137</v>
      </c>
      <c r="E20" s="22" t="s">
        <v>140</v>
      </c>
      <c r="F20" s="22" t="s">
        <v>140</v>
      </c>
      <c r="G20" s="22" t="s">
        <v>1</v>
      </c>
      <c r="H20" s="22" t="s">
        <v>139</v>
      </c>
      <c r="I20" s="21">
        <v>209</v>
      </c>
      <c r="J20" s="22" t="s">
        <v>142</v>
      </c>
      <c r="K20" s="22" t="s">
        <v>360</v>
      </c>
      <c r="L20" s="22" t="s">
        <v>361</v>
      </c>
      <c r="M20" s="22"/>
      <c r="N20" s="21">
        <v>3.49</v>
      </c>
      <c r="O20" s="21">
        <v>729.41</v>
      </c>
      <c r="P20" s="21">
        <v>0</v>
      </c>
      <c r="Q20" s="21">
        <v>3.49</v>
      </c>
      <c r="R20" s="21">
        <v>729.41</v>
      </c>
    </row>
    <row r="21" spans="1:18" ht="28.8" x14ac:dyDescent="0.3">
      <c r="A21" s="21">
        <v>6</v>
      </c>
      <c r="B21" s="22" t="s">
        <v>144</v>
      </c>
      <c r="C21" s="22" t="s">
        <v>149</v>
      </c>
      <c r="D21" s="22" t="s">
        <v>137</v>
      </c>
      <c r="E21" s="22" t="s">
        <v>140</v>
      </c>
      <c r="F21" s="22" t="s">
        <v>140</v>
      </c>
      <c r="G21" s="22" t="s">
        <v>1</v>
      </c>
      <c r="H21" s="22" t="s">
        <v>139</v>
      </c>
      <c r="I21" s="21">
        <v>242</v>
      </c>
      <c r="J21" s="22" t="s">
        <v>142</v>
      </c>
      <c r="K21" s="22" t="s">
        <v>360</v>
      </c>
      <c r="L21" s="22" t="s">
        <v>361</v>
      </c>
      <c r="M21" s="22"/>
      <c r="N21" s="21">
        <v>3.49</v>
      </c>
      <c r="O21" s="21">
        <v>844.58</v>
      </c>
      <c r="P21" s="21">
        <v>0</v>
      </c>
      <c r="Q21" s="21">
        <v>3.49</v>
      </c>
      <c r="R21" s="21">
        <v>844.58</v>
      </c>
    </row>
    <row r="22" spans="1:18" ht="28.8" x14ac:dyDescent="0.3">
      <c r="A22" s="21">
        <v>7</v>
      </c>
      <c r="B22" s="22" t="s">
        <v>150</v>
      </c>
      <c r="C22" s="22" t="s">
        <v>138</v>
      </c>
      <c r="D22" s="22" t="s">
        <v>151</v>
      </c>
      <c r="E22" s="22" t="s">
        <v>153</v>
      </c>
      <c r="F22" s="22" t="s">
        <v>153</v>
      </c>
      <c r="G22" s="22" t="s">
        <v>1</v>
      </c>
      <c r="H22" s="22" t="s">
        <v>152</v>
      </c>
      <c r="I22" s="21">
        <v>435</v>
      </c>
      <c r="J22" s="22" t="s">
        <v>142</v>
      </c>
      <c r="K22" s="22" t="s">
        <v>360</v>
      </c>
      <c r="L22" s="22" t="s">
        <v>361</v>
      </c>
      <c r="M22" s="22"/>
      <c r="N22" s="21">
        <v>1.2</v>
      </c>
      <c r="O22" s="21">
        <v>522</v>
      </c>
      <c r="P22" s="21">
        <v>0</v>
      </c>
      <c r="Q22" s="21">
        <v>1.2</v>
      </c>
      <c r="R22" s="21">
        <v>522</v>
      </c>
    </row>
    <row r="23" spans="1:18" ht="28.8" x14ac:dyDescent="0.3">
      <c r="A23" s="21">
        <v>8</v>
      </c>
      <c r="B23" s="22" t="s">
        <v>154</v>
      </c>
      <c r="C23" s="22" t="s">
        <v>145</v>
      </c>
      <c r="D23" s="22" t="s">
        <v>151</v>
      </c>
      <c r="E23" s="22" t="s">
        <v>153</v>
      </c>
      <c r="F23" s="22" t="s">
        <v>153</v>
      </c>
      <c r="G23" s="22" t="s">
        <v>1</v>
      </c>
      <c r="H23" s="22" t="s">
        <v>152</v>
      </c>
      <c r="I23" s="21">
        <v>609</v>
      </c>
      <c r="J23" s="22" t="s">
        <v>142</v>
      </c>
      <c r="K23" s="22" t="s">
        <v>360</v>
      </c>
      <c r="L23" s="22" t="s">
        <v>361</v>
      </c>
      <c r="M23" s="22"/>
      <c r="N23" s="21">
        <v>1.2</v>
      </c>
      <c r="O23" s="21">
        <v>730.8</v>
      </c>
      <c r="P23" s="21">
        <v>0</v>
      </c>
      <c r="Q23" s="21">
        <v>1.2</v>
      </c>
      <c r="R23" s="21">
        <v>730.8</v>
      </c>
    </row>
    <row r="24" spans="1:18" ht="28.8" x14ac:dyDescent="0.3">
      <c r="A24" s="21">
        <v>9</v>
      </c>
      <c r="B24" s="22" t="s">
        <v>154</v>
      </c>
      <c r="C24" s="22" t="s">
        <v>146</v>
      </c>
      <c r="D24" s="22" t="s">
        <v>151</v>
      </c>
      <c r="E24" s="22" t="s">
        <v>153</v>
      </c>
      <c r="F24" s="22" t="s">
        <v>153</v>
      </c>
      <c r="G24" s="22" t="s">
        <v>1</v>
      </c>
      <c r="H24" s="22" t="s">
        <v>152</v>
      </c>
      <c r="I24" s="21">
        <v>1045</v>
      </c>
      <c r="J24" s="22" t="s">
        <v>142</v>
      </c>
      <c r="K24" s="22" t="s">
        <v>360</v>
      </c>
      <c r="L24" s="22" t="s">
        <v>361</v>
      </c>
      <c r="M24" s="22"/>
      <c r="N24" s="21">
        <v>1.2</v>
      </c>
      <c r="O24" s="21">
        <v>1254</v>
      </c>
      <c r="P24" s="21">
        <v>0</v>
      </c>
      <c r="Q24" s="21">
        <v>1.2</v>
      </c>
      <c r="R24" s="21">
        <v>1254</v>
      </c>
    </row>
    <row r="25" spans="1:18" ht="28.8" x14ac:dyDescent="0.3">
      <c r="A25" s="21">
        <v>10</v>
      </c>
      <c r="B25" s="22" t="s">
        <v>154</v>
      </c>
      <c r="C25" s="22" t="s">
        <v>147</v>
      </c>
      <c r="D25" s="22" t="s">
        <v>151</v>
      </c>
      <c r="E25" s="22" t="s">
        <v>153</v>
      </c>
      <c r="F25" s="22" t="s">
        <v>153</v>
      </c>
      <c r="G25" s="22" t="s">
        <v>1</v>
      </c>
      <c r="H25" s="22" t="s">
        <v>152</v>
      </c>
      <c r="I25" s="21">
        <v>914</v>
      </c>
      <c r="J25" s="22" t="s">
        <v>142</v>
      </c>
      <c r="K25" s="22" t="s">
        <v>360</v>
      </c>
      <c r="L25" s="22" t="s">
        <v>361</v>
      </c>
      <c r="M25" s="22"/>
      <c r="N25" s="21">
        <v>1.2</v>
      </c>
      <c r="O25" s="21">
        <v>1096.8</v>
      </c>
      <c r="P25" s="21">
        <v>0</v>
      </c>
      <c r="Q25" s="21">
        <v>1.2</v>
      </c>
      <c r="R25" s="21">
        <v>1096.8</v>
      </c>
    </row>
    <row r="26" spans="1:18" ht="28.8" x14ac:dyDescent="0.3">
      <c r="A26" s="21">
        <v>11</v>
      </c>
      <c r="B26" s="22" t="s">
        <v>154</v>
      </c>
      <c r="C26" s="22" t="s">
        <v>148</v>
      </c>
      <c r="D26" s="22" t="s">
        <v>151</v>
      </c>
      <c r="E26" s="22" t="s">
        <v>153</v>
      </c>
      <c r="F26" s="22" t="s">
        <v>153</v>
      </c>
      <c r="G26" s="22" t="s">
        <v>1</v>
      </c>
      <c r="H26" s="22" t="s">
        <v>152</v>
      </c>
      <c r="I26" s="21">
        <v>784</v>
      </c>
      <c r="J26" s="22" t="s">
        <v>142</v>
      </c>
      <c r="K26" s="22" t="s">
        <v>360</v>
      </c>
      <c r="L26" s="22" t="s">
        <v>361</v>
      </c>
      <c r="M26" s="22"/>
      <c r="N26" s="21">
        <v>1.2</v>
      </c>
      <c r="O26" s="21">
        <v>940.8</v>
      </c>
      <c r="P26" s="21">
        <v>0</v>
      </c>
      <c r="Q26" s="21">
        <v>1.2</v>
      </c>
      <c r="R26" s="21">
        <v>940.8</v>
      </c>
    </row>
    <row r="27" spans="1:18" ht="28.8" x14ac:dyDescent="0.3">
      <c r="A27" s="21">
        <v>12</v>
      </c>
      <c r="B27" s="22" t="s">
        <v>154</v>
      </c>
      <c r="C27" s="22" t="s">
        <v>149</v>
      </c>
      <c r="D27" s="22" t="s">
        <v>151</v>
      </c>
      <c r="E27" s="22" t="s">
        <v>153</v>
      </c>
      <c r="F27" s="22" t="s">
        <v>153</v>
      </c>
      <c r="G27" s="22" t="s">
        <v>1</v>
      </c>
      <c r="H27" s="22" t="s">
        <v>152</v>
      </c>
      <c r="I27" s="21">
        <v>566</v>
      </c>
      <c r="J27" s="22" t="s">
        <v>142</v>
      </c>
      <c r="K27" s="22" t="s">
        <v>360</v>
      </c>
      <c r="L27" s="22" t="s">
        <v>361</v>
      </c>
      <c r="M27" s="22"/>
      <c r="N27" s="21">
        <v>1.2</v>
      </c>
      <c r="O27" s="21">
        <v>679.2</v>
      </c>
      <c r="P27" s="21">
        <v>0</v>
      </c>
      <c r="Q27" s="21">
        <v>1.2</v>
      </c>
      <c r="R27" s="21">
        <v>679.2</v>
      </c>
    </row>
    <row r="28" spans="1:18" x14ac:dyDescent="0.3">
      <c r="A28" s="136" t="s">
        <v>175</v>
      </c>
      <c r="B28" s="137"/>
      <c r="C28" s="137"/>
      <c r="D28" s="32" t="s">
        <v>1</v>
      </c>
      <c r="E28" s="32" t="s">
        <v>1</v>
      </c>
      <c r="F28" s="32" t="s">
        <v>1</v>
      </c>
      <c r="G28" s="32" t="s">
        <v>1</v>
      </c>
      <c r="H28" s="32" t="s">
        <v>1</v>
      </c>
      <c r="I28" s="33">
        <v>6043</v>
      </c>
      <c r="J28" s="32" t="s">
        <v>1</v>
      </c>
      <c r="K28" s="32" t="s">
        <v>1</v>
      </c>
      <c r="L28" s="32" t="s">
        <v>1</v>
      </c>
      <c r="M28" s="32" t="s">
        <v>1</v>
      </c>
      <c r="N28" s="32" t="s">
        <v>1</v>
      </c>
      <c r="O28" s="33">
        <v>11121.7</v>
      </c>
      <c r="P28" s="32" t="s">
        <v>1</v>
      </c>
      <c r="Q28" s="31" t="s">
        <v>176</v>
      </c>
      <c r="R28" s="33">
        <v>11121.7</v>
      </c>
    </row>
    <row r="29" spans="1:18" ht="28.8" customHeight="1" x14ac:dyDescent="0.3">
      <c r="A29" s="138" t="s">
        <v>155</v>
      </c>
      <c r="B29" s="139"/>
      <c r="C29" s="139"/>
      <c r="D29" s="139"/>
      <c r="E29" s="139"/>
      <c r="F29" s="139"/>
      <c r="G29" s="139"/>
      <c r="H29" s="139"/>
      <c r="I29" s="139"/>
      <c r="J29" s="139"/>
      <c r="K29" s="139"/>
      <c r="L29" s="139"/>
      <c r="M29" s="139"/>
      <c r="N29" s="139"/>
      <c r="O29" s="139"/>
      <c r="P29" s="139"/>
      <c r="Q29" s="139"/>
      <c r="R29" s="140"/>
    </row>
    <row r="30" spans="1:18" x14ac:dyDescent="0.3">
      <c r="A30" s="10" t="s">
        <v>1</v>
      </c>
      <c r="B30" s="11" t="s">
        <v>1</v>
      </c>
      <c r="C30" s="11" t="s">
        <v>1</v>
      </c>
      <c r="D30" s="11"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row>
    <row r="31" spans="1:18" x14ac:dyDescent="0.3">
      <c r="A31" s="147" t="s">
        <v>195</v>
      </c>
      <c r="B31" s="132"/>
      <c r="C31" s="135"/>
      <c r="D31" s="132"/>
      <c r="E31" s="132"/>
      <c r="F31" s="11" t="s">
        <v>176</v>
      </c>
      <c r="G31" s="10" t="s">
        <v>1</v>
      </c>
      <c r="H31" s="10" t="s">
        <v>1</v>
      </c>
      <c r="I31" s="10" t="s">
        <v>1</v>
      </c>
      <c r="J31" s="10" t="s">
        <v>1</v>
      </c>
      <c r="K31" s="10" t="s">
        <v>1</v>
      </c>
      <c r="L31" s="10" t="s">
        <v>1</v>
      </c>
      <c r="M31" s="10" t="s">
        <v>1</v>
      </c>
      <c r="N31" s="10" t="s">
        <v>1</v>
      </c>
      <c r="O31" s="10" t="s">
        <v>1</v>
      </c>
      <c r="P31" s="10" t="s">
        <v>1</v>
      </c>
      <c r="Q31" s="10" t="s">
        <v>1</v>
      </c>
      <c r="R31" s="10" t="s">
        <v>1</v>
      </c>
    </row>
    <row r="32" spans="1:18" x14ac:dyDescent="0.3">
      <c r="A32" s="131" t="s">
        <v>196</v>
      </c>
      <c r="B32" s="132"/>
      <c r="C32" s="131" t="s">
        <v>101</v>
      </c>
      <c r="D32" s="132"/>
      <c r="E32" s="132"/>
      <c r="F32" s="10" t="s">
        <v>157</v>
      </c>
      <c r="G32" s="152">
        <v>46100</v>
      </c>
      <c r="H32" s="132"/>
      <c r="I32" s="10" t="s">
        <v>1</v>
      </c>
      <c r="J32" s="131" t="s">
        <v>177</v>
      </c>
      <c r="K32" s="132"/>
      <c r="L32" s="131" t="s">
        <v>6</v>
      </c>
      <c r="M32" s="132"/>
      <c r="N32" s="132"/>
      <c r="O32" s="132"/>
      <c r="P32" s="10" t="s">
        <v>157</v>
      </c>
      <c r="Q32" s="152">
        <v>41990</v>
      </c>
      <c r="R32" s="132"/>
    </row>
    <row r="33" spans="1:18" x14ac:dyDescent="0.3">
      <c r="A33" s="131" t="s">
        <v>178</v>
      </c>
      <c r="B33" s="132"/>
      <c r="C33" s="131" t="s">
        <v>49</v>
      </c>
      <c r="D33" s="132"/>
      <c r="E33" s="132"/>
      <c r="F33" s="132"/>
      <c r="G33" s="132"/>
      <c r="H33" s="10" t="s">
        <v>1</v>
      </c>
      <c r="I33" s="10" t="s">
        <v>1</v>
      </c>
      <c r="J33" s="10" t="s">
        <v>1</v>
      </c>
      <c r="K33" s="10" t="s">
        <v>1</v>
      </c>
      <c r="L33" s="10" t="s">
        <v>1</v>
      </c>
      <c r="M33" s="10" t="s">
        <v>1</v>
      </c>
      <c r="N33" s="10" t="s">
        <v>1</v>
      </c>
      <c r="O33" s="10" t="s">
        <v>1</v>
      </c>
      <c r="P33" s="10" t="s">
        <v>1</v>
      </c>
      <c r="Q33" s="10" t="s">
        <v>1</v>
      </c>
      <c r="R33" s="10" t="s">
        <v>1</v>
      </c>
    </row>
    <row r="34" spans="1:18" ht="60" customHeight="1" x14ac:dyDescent="0.3">
      <c r="A34" s="131" t="s">
        <v>179</v>
      </c>
      <c r="B34" s="132"/>
      <c r="C34" s="131" t="s">
        <v>9</v>
      </c>
      <c r="D34" s="132"/>
      <c r="E34" s="132"/>
      <c r="F34" s="132"/>
      <c r="G34" s="132"/>
      <c r="H34" s="10" t="s">
        <v>180</v>
      </c>
      <c r="I34" s="131" t="s">
        <v>12</v>
      </c>
      <c r="J34" s="132"/>
      <c r="K34" s="132"/>
      <c r="L34" s="132"/>
      <c r="M34" s="132"/>
      <c r="N34" s="132"/>
      <c r="O34" s="132"/>
      <c r="P34" s="132"/>
      <c r="Q34" s="132"/>
      <c r="R34" s="132"/>
    </row>
    <row r="35" spans="1:18" x14ac:dyDescent="0.3">
      <c r="A35" s="10" t="s">
        <v>1</v>
      </c>
      <c r="B35" s="10" t="s">
        <v>1</v>
      </c>
      <c r="C35" s="10" t="s">
        <v>1</v>
      </c>
      <c r="D35" s="10" t="s">
        <v>1</v>
      </c>
      <c r="E35" s="10" t="s">
        <v>1</v>
      </c>
      <c r="F35" s="10" t="s">
        <v>1</v>
      </c>
      <c r="G35" s="10" t="s">
        <v>1</v>
      </c>
      <c r="H35" s="10" t="s">
        <v>1</v>
      </c>
      <c r="I35" s="10" t="s">
        <v>1</v>
      </c>
      <c r="J35" s="10" t="s">
        <v>1</v>
      </c>
      <c r="K35" s="10" t="s">
        <v>1</v>
      </c>
      <c r="L35" s="10" t="s">
        <v>1</v>
      </c>
      <c r="M35" s="10" t="s">
        <v>1</v>
      </c>
      <c r="N35" s="10" t="s">
        <v>1</v>
      </c>
      <c r="O35" s="10" t="s">
        <v>1</v>
      </c>
      <c r="P35" s="10" t="s">
        <v>1</v>
      </c>
      <c r="Q35" s="10" t="s">
        <v>1</v>
      </c>
      <c r="R35" s="10" t="s">
        <v>1</v>
      </c>
    </row>
    <row r="36" spans="1:18" x14ac:dyDescent="0.3">
      <c r="A36" s="135" t="s">
        <v>181</v>
      </c>
      <c r="B36" s="132"/>
      <c r="C36" s="10" t="s">
        <v>1</v>
      </c>
      <c r="D36" s="10" t="s">
        <v>1</v>
      </c>
      <c r="E36" s="10" t="s">
        <v>1</v>
      </c>
      <c r="F36" s="10" t="s">
        <v>1</v>
      </c>
      <c r="G36" s="10" t="s">
        <v>1</v>
      </c>
      <c r="H36" s="10" t="s">
        <v>1</v>
      </c>
      <c r="I36" s="10" t="s">
        <v>1</v>
      </c>
      <c r="J36" s="10" t="s">
        <v>1</v>
      </c>
      <c r="K36" s="10" t="s">
        <v>1</v>
      </c>
      <c r="L36" s="10" t="s">
        <v>1</v>
      </c>
      <c r="M36" s="10" t="s">
        <v>1</v>
      </c>
      <c r="N36" s="10" t="s">
        <v>1</v>
      </c>
      <c r="O36" s="10" t="s">
        <v>1</v>
      </c>
      <c r="P36" s="10" t="s">
        <v>1</v>
      </c>
      <c r="Q36" s="10" t="s">
        <v>1</v>
      </c>
      <c r="R36" s="10" t="s">
        <v>1</v>
      </c>
    </row>
    <row r="37" spans="1:18" x14ac:dyDescent="0.3">
      <c r="A37" s="10" t="s">
        <v>1</v>
      </c>
      <c r="B37" s="11" t="s">
        <v>158</v>
      </c>
      <c r="C37" s="10" t="s">
        <v>1</v>
      </c>
      <c r="D37" s="10" t="s">
        <v>1</v>
      </c>
      <c r="E37" s="10" t="s">
        <v>1</v>
      </c>
      <c r="F37" s="10" t="s">
        <v>1</v>
      </c>
      <c r="G37" s="10" t="s">
        <v>1</v>
      </c>
      <c r="H37" s="10" t="s">
        <v>1</v>
      </c>
      <c r="I37" s="10" t="s">
        <v>1</v>
      </c>
      <c r="J37" s="10" t="s">
        <v>1</v>
      </c>
      <c r="K37" s="10" t="s">
        <v>1</v>
      </c>
      <c r="L37" s="11" t="s">
        <v>1</v>
      </c>
      <c r="M37" s="11" t="s">
        <v>1</v>
      </c>
      <c r="N37" s="10" t="s">
        <v>1</v>
      </c>
      <c r="O37" s="10" t="s">
        <v>1</v>
      </c>
      <c r="P37" s="10" t="s">
        <v>1</v>
      </c>
      <c r="Q37" s="10" t="s">
        <v>1</v>
      </c>
      <c r="R37" s="10" t="s">
        <v>1</v>
      </c>
    </row>
    <row r="38" spans="1:18" x14ac:dyDescent="0.3">
      <c r="A38" s="131" t="s">
        <v>182</v>
      </c>
      <c r="B38" s="132"/>
      <c r="C38" s="131" t="s">
        <v>35</v>
      </c>
      <c r="D38" s="132"/>
      <c r="E38" s="132"/>
      <c r="F38" s="132"/>
      <c r="G38" s="132"/>
      <c r="H38" s="132"/>
      <c r="I38" s="132"/>
      <c r="J38" s="132"/>
      <c r="K38" s="10" t="s">
        <v>1</v>
      </c>
      <c r="L38" s="131" t="s">
        <v>1</v>
      </c>
      <c r="M38" s="132"/>
      <c r="N38" s="132"/>
      <c r="O38" s="132"/>
      <c r="P38" s="132"/>
      <c r="Q38" s="132"/>
      <c r="R38" s="132"/>
    </row>
    <row r="39" spans="1:18" x14ac:dyDescent="0.3">
      <c r="A39" s="131" t="s">
        <v>183</v>
      </c>
      <c r="B39" s="132"/>
      <c r="C39" s="131" t="s">
        <v>41</v>
      </c>
      <c r="D39" s="132"/>
      <c r="E39" s="132"/>
      <c r="F39" s="132"/>
      <c r="G39" s="132"/>
      <c r="H39" s="132"/>
      <c r="I39" s="132"/>
      <c r="J39" s="132"/>
      <c r="K39" s="10" t="s">
        <v>1</v>
      </c>
      <c r="L39" s="131" t="s">
        <v>1</v>
      </c>
      <c r="M39" s="132"/>
      <c r="N39" s="132"/>
      <c r="O39" s="132"/>
      <c r="P39" s="132"/>
      <c r="Q39" s="132"/>
      <c r="R39" s="132"/>
    </row>
    <row r="40" spans="1:18" x14ac:dyDescent="0.3">
      <c r="A40" s="131" t="s">
        <v>184</v>
      </c>
      <c r="B40" s="132"/>
      <c r="C40" s="131"/>
      <c r="D40" s="132"/>
      <c r="E40" s="132"/>
      <c r="F40" s="132"/>
      <c r="G40" s="132"/>
      <c r="H40" s="132"/>
      <c r="I40" s="132"/>
      <c r="J40" s="132"/>
      <c r="K40" s="10" t="s">
        <v>1</v>
      </c>
      <c r="L40" s="131" t="s">
        <v>1</v>
      </c>
      <c r="M40" s="132"/>
      <c r="N40" s="132"/>
      <c r="O40" s="132"/>
      <c r="P40" s="132"/>
      <c r="Q40" s="132"/>
      <c r="R40" s="132"/>
    </row>
    <row r="41" spans="1:18" x14ac:dyDescent="0.3">
      <c r="A41" s="131" t="s">
        <v>185</v>
      </c>
      <c r="B41" s="132"/>
      <c r="C41" s="131" t="s">
        <v>38</v>
      </c>
      <c r="D41" s="132"/>
      <c r="E41" s="132"/>
      <c r="F41" s="132"/>
      <c r="G41" s="132"/>
      <c r="H41" s="132"/>
      <c r="I41" s="132"/>
      <c r="J41" s="132"/>
      <c r="K41" s="10" t="s">
        <v>1</v>
      </c>
      <c r="L41" s="131" t="s">
        <v>1</v>
      </c>
      <c r="M41" s="132"/>
      <c r="N41" s="132"/>
      <c r="O41" s="132"/>
      <c r="P41" s="132"/>
      <c r="Q41" s="132"/>
      <c r="R41" s="132"/>
    </row>
    <row r="42" spans="1:18" x14ac:dyDescent="0.3">
      <c r="A42" s="10" t="s">
        <v>1</v>
      </c>
      <c r="B42" s="10" t="s">
        <v>1</v>
      </c>
      <c r="C42" s="10" t="s">
        <v>1</v>
      </c>
      <c r="D42" s="10" t="s">
        <v>1</v>
      </c>
      <c r="E42" s="10" t="s">
        <v>1</v>
      </c>
      <c r="F42" s="10" t="s">
        <v>1</v>
      </c>
      <c r="G42" s="10" t="s">
        <v>1</v>
      </c>
      <c r="H42" s="10" t="s">
        <v>1</v>
      </c>
      <c r="I42" s="10" t="s">
        <v>1</v>
      </c>
      <c r="J42" s="10" t="s">
        <v>1</v>
      </c>
      <c r="K42" s="10" t="s">
        <v>1</v>
      </c>
      <c r="L42" s="131" t="s">
        <v>1</v>
      </c>
      <c r="M42" s="132"/>
      <c r="N42" s="132"/>
      <c r="O42" s="132"/>
      <c r="P42" s="132"/>
      <c r="Q42" s="132"/>
      <c r="R42" s="132"/>
    </row>
    <row r="43" spans="1:18" x14ac:dyDescent="0.3">
      <c r="A43" s="131" t="s">
        <v>187</v>
      </c>
      <c r="B43" s="132"/>
      <c r="C43" s="131" t="s">
        <v>19</v>
      </c>
      <c r="D43" s="132"/>
      <c r="E43" s="132"/>
      <c r="F43" s="132"/>
      <c r="G43" s="132"/>
      <c r="H43" s="132"/>
      <c r="I43" s="132"/>
      <c r="J43" s="132"/>
      <c r="K43" s="10" t="s">
        <v>1</v>
      </c>
      <c r="L43" s="131" t="s">
        <v>1</v>
      </c>
      <c r="M43" s="132"/>
      <c r="N43" s="132"/>
      <c r="O43" s="132"/>
      <c r="P43" s="132"/>
      <c r="Q43" s="132"/>
      <c r="R43" s="132"/>
    </row>
    <row r="44" spans="1:18" x14ac:dyDescent="0.3">
      <c r="A44" s="131" t="s">
        <v>188</v>
      </c>
      <c r="B44" s="132"/>
      <c r="C44" s="131" t="s">
        <v>44</v>
      </c>
      <c r="D44" s="132"/>
      <c r="E44" s="132"/>
      <c r="F44" s="132"/>
      <c r="G44" s="132"/>
      <c r="H44" s="132"/>
      <c r="I44" s="132"/>
      <c r="J44" s="132"/>
      <c r="K44" s="10" t="s">
        <v>1</v>
      </c>
      <c r="L44" s="131" t="s">
        <v>1</v>
      </c>
      <c r="M44" s="132"/>
      <c r="N44" s="132"/>
      <c r="O44" s="132"/>
      <c r="P44" s="132"/>
      <c r="Q44" s="132"/>
      <c r="R44" s="132"/>
    </row>
    <row r="45" spans="1:18" x14ac:dyDescent="0.3">
      <c r="A45" s="10" t="s">
        <v>1</v>
      </c>
      <c r="B45" s="10" t="s">
        <v>1</v>
      </c>
      <c r="C45" s="10" t="s">
        <v>1</v>
      </c>
      <c r="D45" s="10" t="s">
        <v>1</v>
      </c>
      <c r="E45" s="10" t="s">
        <v>1</v>
      </c>
      <c r="F45" s="10" t="s">
        <v>1</v>
      </c>
      <c r="G45" s="10" t="s">
        <v>1</v>
      </c>
      <c r="H45" s="10" t="s">
        <v>1</v>
      </c>
      <c r="I45" s="10" t="s">
        <v>1</v>
      </c>
      <c r="J45" s="10" t="s">
        <v>1</v>
      </c>
      <c r="K45" s="131" t="s">
        <v>1</v>
      </c>
      <c r="L45" s="132"/>
      <c r="M45" s="132"/>
      <c r="N45" s="132"/>
      <c r="O45" s="132"/>
      <c r="P45" s="132"/>
      <c r="Q45" s="132"/>
      <c r="R45" s="132"/>
    </row>
    <row r="46" spans="1:18" x14ac:dyDescent="0.3">
      <c r="A46" s="131" t="s">
        <v>190</v>
      </c>
      <c r="B46" s="132"/>
      <c r="C46" s="131" t="s">
        <v>25</v>
      </c>
      <c r="D46" s="132"/>
      <c r="E46" s="132"/>
      <c r="F46" s="132"/>
      <c r="G46" s="132"/>
      <c r="H46" s="132"/>
      <c r="I46" s="132"/>
      <c r="J46" s="10" t="s">
        <v>1</v>
      </c>
      <c r="K46" s="10" t="s">
        <v>1</v>
      </c>
      <c r="L46" s="131" t="s">
        <v>1</v>
      </c>
      <c r="M46" s="132"/>
      <c r="N46" s="132"/>
      <c r="O46" s="132"/>
      <c r="P46" s="132"/>
      <c r="Q46" s="132"/>
      <c r="R46" s="132"/>
    </row>
    <row r="47" spans="1:18" x14ac:dyDescent="0.3">
      <c r="A47" s="131" t="s">
        <v>191</v>
      </c>
      <c r="B47" s="132"/>
      <c r="C47" s="131" t="s">
        <v>22</v>
      </c>
      <c r="D47" s="132"/>
      <c r="E47" s="132"/>
      <c r="F47" s="132"/>
      <c r="G47" s="132"/>
      <c r="H47" s="132"/>
      <c r="I47" s="132"/>
      <c r="J47" s="132"/>
      <c r="K47" s="10" t="s">
        <v>1</v>
      </c>
      <c r="L47" s="131" t="s">
        <v>1</v>
      </c>
      <c r="M47" s="132"/>
      <c r="N47" s="132"/>
      <c r="O47" s="132"/>
      <c r="P47" s="132"/>
      <c r="Q47" s="132"/>
      <c r="R47" s="132"/>
    </row>
    <row r="48" spans="1:18" ht="141.75" customHeight="1" x14ac:dyDescent="0.3">
      <c r="A48" s="10" t="s">
        <v>1</v>
      </c>
      <c r="B48" s="10" t="s">
        <v>1</v>
      </c>
      <c r="C48" s="10" t="s">
        <v>1</v>
      </c>
      <c r="D48" s="10" t="s">
        <v>1</v>
      </c>
      <c r="E48" s="10" t="s">
        <v>1</v>
      </c>
      <c r="F48" s="10" t="s">
        <v>1</v>
      </c>
      <c r="G48" s="10" t="s">
        <v>1</v>
      </c>
      <c r="H48" s="10" t="s">
        <v>1</v>
      </c>
      <c r="I48" s="10" t="s">
        <v>1</v>
      </c>
      <c r="J48" s="10" t="s">
        <v>1</v>
      </c>
      <c r="K48" s="132"/>
      <c r="L48" s="132"/>
      <c r="M48" s="132"/>
      <c r="N48" s="132"/>
      <c r="O48" s="132"/>
      <c r="P48" s="132"/>
      <c r="Q48" s="132"/>
      <c r="R48" s="132"/>
    </row>
    <row r="49" spans="1:18" x14ac:dyDescent="0.3">
      <c r="A49" s="10" t="s">
        <v>1</v>
      </c>
      <c r="B49" s="10" t="s">
        <v>1</v>
      </c>
      <c r="C49" s="10" t="s">
        <v>1</v>
      </c>
      <c r="D49" s="10" t="s">
        <v>1</v>
      </c>
      <c r="E49" s="10" t="s">
        <v>1</v>
      </c>
      <c r="F49" s="10" t="s">
        <v>1</v>
      </c>
      <c r="G49" s="10" t="s">
        <v>1</v>
      </c>
      <c r="H49" s="10" t="s">
        <v>1</v>
      </c>
      <c r="I49" s="10" t="s">
        <v>1</v>
      </c>
      <c r="J49" s="10" t="s">
        <v>1</v>
      </c>
      <c r="K49" s="10" t="s">
        <v>158</v>
      </c>
      <c r="L49" s="10" t="s">
        <v>1</v>
      </c>
      <c r="M49" s="10" t="s">
        <v>1</v>
      </c>
      <c r="N49" s="10" t="s">
        <v>1</v>
      </c>
      <c r="O49" s="10" t="s">
        <v>1</v>
      </c>
      <c r="P49" s="10" t="s">
        <v>1</v>
      </c>
      <c r="Q49" s="10" t="s">
        <v>1</v>
      </c>
      <c r="R49" s="10" t="s">
        <v>1</v>
      </c>
    </row>
    <row r="50" spans="1:18" ht="0" hidden="1" customHeight="1" x14ac:dyDescent="0.3"/>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8:C28"/>
    <mergeCell ref="A29:R29"/>
    <mergeCell ref="A31:B31"/>
    <mergeCell ref="C31:E31"/>
    <mergeCell ref="Q32:R32"/>
    <mergeCell ref="A33:B33"/>
    <mergeCell ref="C33:G33"/>
    <mergeCell ref="A34:B34"/>
    <mergeCell ref="C34:G34"/>
    <mergeCell ref="I34:R34"/>
    <mergeCell ref="A32:B32"/>
    <mergeCell ref="C32:E32"/>
    <mergeCell ref="G32:H32"/>
    <mergeCell ref="J32:K32"/>
    <mergeCell ref="L32:O32"/>
    <mergeCell ref="A36:B36"/>
    <mergeCell ref="A38:B38"/>
    <mergeCell ref="C38:J38"/>
    <mergeCell ref="L38:R38"/>
    <mergeCell ref="A39:B39"/>
    <mergeCell ref="C39:J39"/>
    <mergeCell ref="L39:R39"/>
    <mergeCell ref="A40:B40"/>
    <mergeCell ref="C40:J40"/>
    <mergeCell ref="L40:R40"/>
    <mergeCell ref="A41:B41"/>
    <mergeCell ref="C41:J41"/>
    <mergeCell ref="L41:R41"/>
    <mergeCell ref="L42:R42"/>
    <mergeCell ref="A43:B43"/>
    <mergeCell ref="C43:J43"/>
    <mergeCell ref="L43:R43"/>
    <mergeCell ref="A44:B44"/>
    <mergeCell ref="C44:J44"/>
    <mergeCell ref="L44:R44"/>
    <mergeCell ref="K48:R48"/>
    <mergeCell ref="K45:R45"/>
    <mergeCell ref="A46:B46"/>
    <mergeCell ref="C46:I46"/>
    <mergeCell ref="L46:R46"/>
    <mergeCell ref="A47:B47"/>
    <mergeCell ref="C47:J47"/>
    <mergeCell ref="L47:R47"/>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3"/>
  <sheetViews>
    <sheetView showGridLines="0" workbookViewId="0">
      <selection activeCell="G32" sqref="G32:K42"/>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142" t="s">
        <v>19</v>
      </c>
      <c r="B1" s="132"/>
      <c r="C1" s="132"/>
      <c r="D1" s="132"/>
      <c r="E1" s="132"/>
      <c r="F1" s="132"/>
      <c r="G1" s="132"/>
      <c r="H1" s="132"/>
      <c r="I1" s="132"/>
      <c r="J1" s="132"/>
      <c r="K1" s="132"/>
      <c r="L1" s="132"/>
    </row>
    <row r="2" spans="1:12" ht="13.35" customHeight="1" x14ac:dyDescent="0.3">
      <c r="A2" s="143" t="s">
        <v>22</v>
      </c>
      <c r="B2" s="132"/>
      <c r="C2" s="132"/>
      <c r="D2" s="132"/>
      <c r="E2" s="132"/>
      <c r="F2" s="132"/>
      <c r="G2" s="132"/>
      <c r="H2" s="132"/>
      <c r="I2" s="132"/>
      <c r="J2" s="132"/>
      <c r="K2" s="132"/>
      <c r="L2" s="132"/>
    </row>
    <row r="3" spans="1:12" ht="13.5" customHeight="1" x14ac:dyDescent="0.3">
      <c r="A3" s="143" t="s">
        <v>25</v>
      </c>
      <c r="B3" s="132"/>
      <c r="C3" s="132"/>
      <c r="D3" s="132"/>
      <c r="E3" s="132"/>
      <c r="F3" s="132"/>
      <c r="G3" s="132"/>
      <c r="H3" s="132"/>
      <c r="I3" s="132"/>
      <c r="J3" s="132"/>
      <c r="K3" s="132"/>
      <c r="L3" s="132"/>
    </row>
    <row r="4" spans="1:12" ht="24.45" customHeight="1" x14ac:dyDescent="0.3">
      <c r="A4" s="144" t="s">
        <v>107</v>
      </c>
      <c r="B4" s="132"/>
      <c r="C4" s="132"/>
      <c r="D4" s="132"/>
      <c r="E4" s="132"/>
      <c r="F4" s="132"/>
      <c r="G4" s="132"/>
      <c r="H4" s="132"/>
      <c r="I4" s="132"/>
      <c r="J4" s="132"/>
      <c r="K4" s="132"/>
      <c r="L4" s="132"/>
    </row>
    <row r="5" spans="1:12" x14ac:dyDescent="0.3">
      <c r="A5" s="131" t="s">
        <v>197</v>
      </c>
      <c r="B5" s="132"/>
      <c r="C5" s="132"/>
      <c r="D5" s="135" t="s">
        <v>108</v>
      </c>
      <c r="E5" s="132"/>
      <c r="F5" s="132"/>
      <c r="G5" s="10" t="s">
        <v>1</v>
      </c>
      <c r="H5" s="10" t="s">
        <v>1</v>
      </c>
      <c r="I5" s="10" t="s">
        <v>157</v>
      </c>
      <c r="J5" s="19">
        <v>46101</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131" t="s">
        <v>158</v>
      </c>
      <c r="B7" s="132"/>
      <c r="C7" s="135" t="s">
        <v>19</v>
      </c>
      <c r="D7" s="132"/>
      <c r="E7" s="132"/>
      <c r="F7" s="132"/>
      <c r="G7" s="11" t="s">
        <v>1</v>
      </c>
      <c r="H7" s="10" t="s">
        <v>159</v>
      </c>
      <c r="I7" s="135" t="s">
        <v>53</v>
      </c>
      <c r="J7" s="132"/>
      <c r="K7" s="132"/>
      <c r="L7" s="132"/>
    </row>
    <row r="8" spans="1:12" ht="25.05" customHeight="1" x14ac:dyDescent="0.3">
      <c r="A8" s="10" t="s">
        <v>1</v>
      </c>
      <c r="B8" s="10" t="s">
        <v>1</v>
      </c>
      <c r="C8" s="131" t="s">
        <v>22</v>
      </c>
      <c r="D8" s="132"/>
      <c r="E8" s="132"/>
      <c r="F8" s="132"/>
      <c r="G8" s="10" t="s">
        <v>1</v>
      </c>
      <c r="H8" s="10" t="s">
        <v>1</v>
      </c>
      <c r="I8" s="131" t="s">
        <v>56</v>
      </c>
      <c r="J8" s="132"/>
      <c r="K8" s="132"/>
      <c r="L8" s="132"/>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131" t="s">
        <v>160</v>
      </c>
      <c r="B10" s="132"/>
      <c r="C10" s="135" t="s">
        <v>29</v>
      </c>
      <c r="D10" s="132"/>
      <c r="E10" s="132"/>
      <c r="F10" s="132"/>
      <c r="G10" s="11" t="s">
        <v>1</v>
      </c>
      <c r="H10" s="10" t="s">
        <v>161</v>
      </c>
      <c r="I10" s="135" t="s">
        <v>53</v>
      </c>
      <c r="J10" s="132"/>
      <c r="K10" s="132"/>
      <c r="L10" s="132"/>
    </row>
    <row r="11" spans="1:12" ht="28.05" customHeight="1" x14ac:dyDescent="0.3">
      <c r="A11" s="10" t="s">
        <v>1</v>
      </c>
      <c r="B11" s="10" t="s">
        <v>1</v>
      </c>
      <c r="C11" s="131" t="s">
        <v>32</v>
      </c>
      <c r="D11" s="132"/>
      <c r="E11" s="132"/>
      <c r="F11" s="132"/>
      <c r="G11" s="10" t="s">
        <v>1</v>
      </c>
      <c r="H11" s="10" t="s">
        <v>1</v>
      </c>
      <c r="I11" s="131" t="s">
        <v>56</v>
      </c>
      <c r="J11" s="132"/>
      <c r="K11" s="132"/>
      <c r="L11" s="132"/>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163</v>
      </c>
      <c r="B13" s="161" t="s">
        <v>114</v>
      </c>
      <c r="C13" s="140"/>
      <c r="D13" s="30" t="s">
        <v>118</v>
      </c>
      <c r="E13" s="30" t="s">
        <v>164</v>
      </c>
      <c r="F13" s="30" t="s">
        <v>117</v>
      </c>
      <c r="G13" s="30" t="s">
        <v>121</v>
      </c>
      <c r="H13" s="30" t="s">
        <v>193</v>
      </c>
      <c r="I13" s="30" t="s">
        <v>198</v>
      </c>
      <c r="J13" s="30" t="s">
        <v>131</v>
      </c>
      <c r="K13" s="30" t="s">
        <v>132</v>
      </c>
      <c r="L13" s="30" t="s">
        <v>133</v>
      </c>
    </row>
    <row r="14" spans="1:12" ht="19.2" x14ac:dyDescent="0.3">
      <c r="A14" s="21">
        <v>1</v>
      </c>
      <c r="B14" s="138" t="s">
        <v>136</v>
      </c>
      <c r="C14" s="140"/>
      <c r="D14" s="22" t="s">
        <v>140</v>
      </c>
      <c r="E14" s="22" t="s">
        <v>140</v>
      </c>
      <c r="F14" s="22" t="s">
        <v>139</v>
      </c>
      <c r="G14" s="21">
        <v>221</v>
      </c>
      <c r="H14" s="22" t="s">
        <v>142</v>
      </c>
      <c r="I14" s="21">
        <v>3</v>
      </c>
      <c r="J14" s="22" t="s">
        <v>143</v>
      </c>
      <c r="K14" s="21">
        <v>51.93</v>
      </c>
      <c r="L14" s="21">
        <v>57.73</v>
      </c>
    </row>
    <row r="15" spans="1:12" ht="19.2" x14ac:dyDescent="0.3">
      <c r="A15" s="21">
        <v>2</v>
      </c>
      <c r="B15" s="138" t="s">
        <v>144</v>
      </c>
      <c r="C15" s="140"/>
      <c r="D15" s="22" t="s">
        <v>140</v>
      </c>
      <c r="E15" s="22" t="s">
        <v>140</v>
      </c>
      <c r="F15" s="22" t="s">
        <v>139</v>
      </c>
      <c r="G15" s="21">
        <v>259</v>
      </c>
      <c r="H15" s="22" t="s">
        <v>142</v>
      </c>
      <c r="I15" s="21">
        <v>4</v>
      </c>
      <c r="J15" s="22" t="s">
        <v>143</v>
      </c>
      <c r="K15" s="21">
        <v>62.68</v>
      </c>
      <c r="L15" s="21">
        <v>70.41</v>
      </c>
    </row>
    <row r="16" spans="1:12" ht="19.2" x14ac:dyDescent="0.3">
      <c r="A16" s="21">
        <v>3</v>
      </c>
      <c r="B16" s="138" t="s">
        <v>144</v>
      </c>
      <c r="C16" s="140"/>
      <c r="D16" s="22" t="s">
        <v>140</v>
      </c>
      <c r="E16" s="22" t="s">
        <v>140</v>
      </c>
      <c r="F16" s="22" t="s">
        <v>139</v>
      </c>
      <c r="G16" s="21">
        <v>345</v>
      </c>
      <c r="H16" s="22" t="s">
        <v>142</v>
      </c>
      <c r="I16" s="21">
        <v>5</v>
      </c>
      <c r="J16" s="22" t="s">
        <v>143</v>
      </c>
      <c r="K16" s="21">
        <v>85.56</v>
      </c>
      <c r="L16" s="21">
        <v>95.22</v>
      </c>
    </row>
    <row r="17" spans="1:12" ht="19.2" x14ac:dyDescent="0.3">
      <c r="A17" s="21">
        <v>4</v>
      </c>
      <c r="B17" s="138" t="s">
        <v>144</v>
      </c>
      <c r="C17" s="140"/>
      <c r="D17" s="22" t="s">
        <v>140</v>
      </c>
      <c r="E17" s="22" t="s">
        <v>140</v>
      </c>
      <c r="F17" s="22" t="s">
        <v>139</v>
      </c>
      <c r="G17" s="21">
        <v>414</v>
      </c>
      <c r="H17" s="22" t="s">
        <v>142</v>
      </c>
      <c r="I17" s="21">
        <v>6</v>
      </c>
      <c r="J17" s="22" t="s">
        <v>143</v>
      </c>
      <c r="K17" s="21">
        <v>109.71</v>
      </c>
      <c r="L17" s="21">
        <v>121.3</v>
      </c>
    </row>
    <row r="18" spans="1:12" ht="19.2" x14ac:dyDescent="0.3">
      <c r="A18" s="21">
        <v>5</v>
      </c>
      <c r="B18" s="138" t="s">
        <v>144</v>
      </c>
      <c r="C18" s="140"/>
      <c r="D18" s="22" t="s">
        <v>140</v>
      </c>
      <c r="E18" s="22" t="s">
        <v>140</v>
      </c>
      <c r="F18" s="22" t="s">
        <v>139</v>
      </c>
      <c r="G18" s="21">
        <v>209</v>
      </c>
      <c r="H18" s="22" t="s">
        <v>142</v>
      </c>
      <c r="I18" s="21">
        <v>3</v>
      </c>
      <c r="J18" s="22" t="s">
        <v>143</v>
      </c>
      <c r="K18" s="21">
        <v>59.98</v>
      </c>
      <c r="L18" s="21">
        <v>65.78</v>
      </c>
    </row>
    <row r="19" spans="1:12" ht="19.2" x14ac:dyDescent="0.3">
      <c r="A19" s="21">
        <v>6</v>
      </c>
      <c r="B19" s="138" t="s">
        <v>144</v>
      </c>
      <c r="C19" s="140"/>
      <c r="D19" s="22" t="s">
        <v>140</v>
      </c>
      <c r="E19" s="22" t="s">
        <v>140</v>
      </c>
      <c r="F19" s="22" t="s">
        <v>139</v>
      </c>
      <c r="G19" s="21">
        <v>242</v>
      </c>
      <c r="H19" s="22" t="s">
        <v>142</v>
      </c>
      <c r="I19" s="21">
        <v>3</v>
      </c>
      <c r="J19" s="22" t="s">
        <v>143</v>
      </c>
      <c r="K19" s="21">
        <v>71.39</v>
      </c>
      <c r="L19" s="21">
        <v>77.19</v>
      </c>
    </row>
    <row r="20" spans="1:12" x14ac:dyDescent="0.3">
      <c r="A20" s="21">
        <v>7</v>
      </c>
      <c r="B20" s="138" t="s">
        <v>150</v>
      </c>
      <c r="C20" s="140"/>
      <c r="D20" s="22" t="s">
        <v>153</v>
      </c>
      <c r="E20" s="22" t="s">
        <v>153</v>
      </c>
      <c r="F20" s="22" t="s">
        <v>152</v>
      </c>
      <c r="G20" s="21">
        <v>435</v>
      </c>
      <c r="H20" s="22" t="s">
        <v>142</v>
      </c>
      <c r="I20" s="21">
        <v>5</v>
      </c>
      <c r="J20" s="22" t="s">
        <v>143</v>
      </c>
      <c r="K20" s="21">
        <v>62.2</v>
      </c>
      <c r="L20" s="21">
        <v>71.86</v>
      </c>
    </row>
    <row r="21" spans="1:12" x14ac:dyDescent="0.3">
      <c r="A21" s="21">
        <v>8</v>
      </c>
      <c r="B21" s="138" t="s">
        <v>154</v>
      </c>
      <c r="C21" s="140"/>
      <c r="D21" s="22" t="s">
        <v>153</v>
      </c>
      <c r="E21" s="22" t="s">
        <v>153</v>
      </c>
      <c r="F21" s="22" t="s">
        <v>152</v>
      </c>
      <c r="G21" s="21">
        <v>609</v>
      </c>
      <c r="H21" s="22" t="s">
        <v>142</v>
      </c>
      <c r="I21" s="21">
        <v>7</v>
      </c>
      <c r="J21" s="22" t="s">
        <v>143</v>
      </c>
      <c r="K21" s="21">
        <v>96.22</v>
      </c>
      <c r="L21" s="21">
        <v>109.75</v>
      </c>
    </row>
    <row r="22" spans="1:12" x14ac:dyDescent="0.3">
      <c r="A22" s="21">
        <v>9</v>
      </c>
      <c r="B22" s="138" t="s">
        <v>154</v>
      </c>
      <c r="C22" s="140"/>
      <c r="D22" s="22" t="s">
        <v>153</v>
      </c>
      <c r="E22" s="22" t="s">
        <v>153</v>
      </c>
      <c r="F22" s="22" t="s">
        <v>152</v>
      </c>
      <c r="G22" s="21">
        <v>1045</v>
      </c>
      <c r="H22" s="22" t="s">
        <v>142</v>
      </c>
      <c r="I22" s="21">
        <v>12</v>
      </c>
      <c r="J22" s="22" t="s">
        <v>143</v>
      </c>
      <c r="K22" s="21">
        <v>172.43</v>
      </c>
      <c r="L22" s="21">
        <v>195.62</v>
      </c>
    </row>
    <row r="23" spans="1:12" x14ac:dyDescent="0.3">
      <c r="A23" s="21">
        <v>10</v>
      </c>
      <c r="B23" s="138" t="s">
        <v>154</v>
      </c>
      <c r="C23" s="140"/>
      <c r="D23" s="22" t="s">
        <v>153</v>
      </c>
      <c r="E23" s="22" t="s">
        <v>153</v>
      </c>
      <c r="F23" s="22" t="s">
        <v>152</v>
      </c>
      <c r="G23" s="21">
        <v>914</v>
      </c>
      <c r="H23" s="22" t="s">
        <v>142</v>
      </c>
      <c r="I23" s="21">
        <v>10</v>
      </c>
      <c r="J23" s="22" t="s">
        <v>143</v>
      </c>
      <c r="K23" s="21">
        <v>161.78</v>
      </c>
      <c r="L23" s="21">
        <v>181.1</v>
      </c>
    </row>
    <row r="24" spans="1:12" x14ac:dyDescent="0.3">
      <c r="A24" s="21">
        <v>11</v>
      </c>
      <c r="B24" s="138" t="s">
        <v>154</v>
      </c>
      <c r="C24" s="140"/>
      <c r="D24" s="22" t="s">
        <v>153</v>
      </c>
      <c r="E24" s="22" t="s">
        <v>153</v>
      </c>
      <c r="F24" s="22" t="s">
        <v>152</v>
      </c>
      <c r="G24" s="21">
        <v>784</v>
      </c>
      <c r="H24" s="22" t="s">
        <v>142</v>
      </c>
      <c r="I24" s="21">
        <v>9</v>
      </c>
      <c r="J24" s="22" t="s">
        <v>143</v>
      </c>
      <c r="K24" s="21">
        <v>148.18</v>
      </c>
      <c r="L24" s="21">
        <v>165.57</v>
      </c>
    </row>
    <row r="25" spans="1:12" x14ac:dyDescent="0.3">
      <c r="A25" s="21">
        <v>12</v>
      </c>
      <c r="B25" s="138" t="s">
        <v>154</v>
      </c>
      <c r="C25" s="140"/>
      <c r="D25" s="22" t="s">
        <v>153</v>
      </c>
      <c r="E25" s="22" t="s">
        <v>153</v>
      </c>
      <c r="F25" s="22" t="s">
        <v>152</v>
      </c>
      <c r="G25" s="21">
        <v>566</v>
      </c>
      <c r="H25" s="22" t="s">
        <v>142</v>
      </c>
      <c r="I25" s="21">
        <v>7</v>
      </c>
      <c r="J25" s="22" t="s">
        <v>143</v>
      </c>
      <c r="K25" s="21">
        <v>110.94</v>
      </c>
      <c r="L25" s="21">
        <v>124.47</v>
      </c>
    </row>
    <row r="26" spans="1:12" x14ac:dyDescent="0.3">
      <c r="A26" s="136" t="s">
        <v>175</v>
      </c>
      <c r="B26" s="137"/>
      <c r="C26" s="137"/>
      <c r="D26" s="137"/>
      <c r="E26" s="32" t="s">
        <v>1</v>
      </c>
      <c r="F26" s="32" t="s">
        <v>1</v>
      </c>
      <c r="G26" s="33">
        <v>6043</v>
      </c>
      <c r="H26" s="31" t="s">
        <v>1</v>
      </c>
      <c r="I26" s="33">
        <v>74</v>
      </c>
      <c r="J26" s="31" t="s">
        <v>1</v>
      </c>
      <c r="K26" s="33">
        <v>1193</v>
      </c>
      <c r="L26" s="33">
        <v>1336</v>
      </c>
    </row>
    <row r="27" spans="1:12" x14ac:dyDescent="0.3">
      <c r="A27" s="11" t="s">
        <v>1</v>
      </c>
      <c r="B27" s="11" t="s">
        <v>1</v>
      </c>
      <c r="C27" s="11" t="s">
        <v>1</v>
      </c>
      <c r="D27" s="11" t="s">
        <v>1</v>
      </c>
      <c r="E27" s="10" t="s">
        <v>1</v>
      </c>
      <c r="F27" s="10" t="s">
        <v>1</v>
      </c>
      <c r="G27" s="10" t="s">
        <v>1</v>
      </c>
      <c r="H27" s="10" t="s">
        <v>1</v>
      </c>
      <c r="I27" s="10" t="s">
        <v>1</v>
      </c>
      <c r="J27" s="10" t="s">
        <v>1</v>
      </c>
      <c r="K27" s="10" t="s">
        <v>1</v>
      </c>
      <c r="L27" s="10" t="s">
        <v>1</v>
      </c>
    </row>
    <row r="28" spans="1:12" x14ac:dyDescent="0.3">
      <c r="A28" s="131" t="s">
        <v>196</v>
      </c>
      <c r="B28" s="132"/>
      <c r="C28" s="135" t="s">
        <v>101</v>
      </c>
      <c r="D28" s="132"/>
      <c r="E28" s="10" t="s">
        <v>157</v>
      </c>
      <c r="F28" s="13">
        <v>46100</v>
      </c>
      <c r="G28" s="10" t="s">
        <v>1</v>
      </c>
      <c r="H28" s="10" t="s">
        <v>177</v>
      </c>
      <c r="I28" s="135" t="s">
        <v>6</v>
      </c>
      <c r="J28" s="132"/>
      <c r="K28" s="10" t="s">
        <v>157</v>
      </c>
      <c r="L28" s="13">
        <v>41990</v>
      </c>
    </row>
    <row r="29" spans="1:12" x14ac:dyDescent="0.3">
      <c r="A29" s="131" t="s">
        <v>199</v>
      </c>
      <c r="B29" s="132"/>
      <c r="C29" s="135" t="s">
        <v>97</v>
      </c>
      <c r="D29" s="132"/>
      <c r="E29" s="10" t="s">
        <v>157</v>
      </c>
      <c r="F29" s="13">
        <v>46101</v>
      </c>
      <c r="G29" s="10" t="s">
        <v>1</v>
      </c>
      <c r="H29" s="10" t="s">
        <v>1</v>
      </c>
      <c r="I29" s="10" t="s">
        <v>1</v>
      </c>
      <c r="J29" s="10" t="s">
        <v>1</v>
      </c>
      <c r="K29" s="10" t="s">
        <v>1</v>
      </c>
      <c r="L29" s="10" t="s">
        <v>1</v>
      </c>
    </row>
    <row r="30" spans="1:12" ht="141.75" customHeight="1" x14ac:dyDescent="0.3">
      <c r="A30" s="10" t="s">
        <v>1</v>
      </c>
      <c r="B30" s="10" t="s">
        <v>1</v>
      </c>
      <c r="C30" s="10" t="s">
        <v>1</v>
      </c>
      <c r="D30" s="10" t="s">
        <v>1</v>
      </c>
      <c r="E30" s="10" t="s">
        <v>1</v>
      </c>
      <c r="F30" s="10" t="s">
        <v>1</v>
      </c>
      <c r="G30" s="10" t="s">
        <v>1</v>
      </c>
      <c r="H30" s="132"/>
      <c r="I30" s="132"/>
      <c r="J30" s="132"/>
      <c r="K30" s="132"/>
      <c r="L30" s="132"/>
    </row>
    <row r="31" spans="1:12" x14ac:dyDescent="0.3">
      <c r="A31" s="10" t="s">
        <v>1</v>
      </c>
      <c r="B31" s="10" t="s">
        <v>1</v>
      </c>
      <c r="C31" s="10" t="s">
        <v>1</v>
      </c>
      <c r="D31" s="10" t="s">
        <v>1</v>
      </c>
      <c r="E31" s="10" t="s">
        <v>1</v>
      </c>
      <c r="F31" s="10" t="s">
        <v>1</v>
      </c>
      <c r="G31" s="10" t="s">
        <v>1</v>
      </c>
      <c r="H31" s="10" t="s">
        <v>158</v>
      </c>
      <c r="I31" s="10" t="s">
        <v>1</v>
      </c>
      <c r="J31" s="10" t="s">
        <v>1</v>
      </c>
      <c r="K31" s="10" t="s">
        <v>1</v>
      </c>
      <c r="L31" s="10" t="s">
        <v>1</v>
      </c>
    </row>
    <row r="32" spans="1:12" x14ac:dyDescent="0.3">
      <c r="A32" s="2" t="s">
        <v>1</v>
      </c>
      <c r="B32" s="10" t="s">
        <v>1</v>
      </c>
      <c r="C32" s="10" t="s">
        <v>1</v>
      </c>
      <c r="D32" s="10" t="s">
        <v>1</v>
      </c>
      <c r="E32" s="10" t="s">
        <v>1</v>
      </c>
      <c r="F32" s="10" t="s">
        <v>1</v>
      </c>
      <c r="G32" s="10" t="s">
        <v>1</v>
      </c>
      <c r="H32" s="10" t="s">
        <v>1</v>
      </c>
      <c r="I32" s="10" t="s">
        <v>1</v>
      </c>
      <c r="J32" s="10" t="s">
        <v>1</v>
      </c>
      <c r="K32" s="10" t="s">
        <v>1</v>
      </c>
      <c r="L32" s="10" t="s">
        <v>1</v>
      </c>
    </row>
    <row r="33" ht="0" hidden="1" customHeight="1" x14ac:dyDescent="0.3"/>
  </sheetData>
  <mergeCells count="36">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B21:C21"/>
    <mergeCell ref="B22:C22"/>
    <mergeCell ref="I28:J28"/>
    <mergeCell ref="A29:B29"/>
    <mergeCell ref="C29:D29"/>
    <mergeCell ref="H30:L30"/>
    <mergeCell ref="B23:C23"/>
    <mergeCell ref="B24:C24"/>
    <mergeCell ref="B25:C25"/>
    <mergeCell ref="A26:D26"/>
    <mergeCell ref="A28:B28"/>
    <mergeCell ref="C28:D2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7"/>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69" t="s">
        <v>110</v>
      </c>
      <c r="B1" s="132"/>
      <c r="C1" s="132"/>
      <c r="D1" s="132"/>
      <c r="E1" s="132"/>
      <c r="F1" s="132"/>
      <c r="G1" s="132"/>
      <c r="H1" s="132"/>
      <c r="I1" s="132"/>
    </row>
    <row r="2" spans="1:9" x14ac:dyDescent="0.3">
      <c r="A2" s="162" t="s">
        <v>200</v>
      </c>
      <c r="B2" s="132"/>
      <c r="C2" s="167" t="s">
        <v>111</v>
      </c>
      <c r="D2" s="132"/>
      <c r="E2" s="3" t="s">
        <v>1</v>
      </c>
      <c r="F2" s="4" t="s">
        <v>157</v>
      </c>
      <c r="G2" s="34">
        <v>46102</v>
      </c>
      <c r="H2" s="4" t="s">
        <v>1</v>
      </c>
      <c r="I2" s="4" t="s">
        <v>1</v>
      </c>
    </row>
    <row r="3" spans="1:9" x14ac:dyDescent="0.3">
      <c r="A3" s="162" t="s">
        <v>199</v>
      </c>
      <c r="B3" s="132"/>
      <c r="C3" s="167" t="s">
        <v>97</v>
      </c>
      <c r="D3" s="132"/>
      <c r="E3" s="3" t="s">
        <v>1</v>
      </c>
      <c r="F3" s="4" t="s">
        <v>157</v>
      </c>
      <c r="G3" s="34">
        <v>46101</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62" t="s">
        <v>158</v>
      </c>
      <c r="B5" s="132"/>
      <c r="C5" s="167" t="s">
        <v>19</v>
      </c>
      <c r="D5" s="132"/>
      <c r="E5" s="4" t="s">
        <v>201</v>
      </c>
      <c r="F5" s="167" t="s">
        <v>99</v>
      </c>
      <c r="G5" s="132"/>
      <c r="H5" s="132"/>
      <c r="I5" s="132"/>
    </row>
    <row r="6" spans="1:9" x14ac:dyDescent="0.3">
      <c r="A6" s="4" t="s">
        <v>1</v>
      </c>
      <c r="B6" s="4" t="s">
        <v>1</v>
      </c>
      <c r="C6" s="162" t="s">
        <v>22</v>
      </c>
      <c r="D6" s="132"/>
      <c r="E6" s="4" t="s">
        <v>1</v>
      </c>
      <c r="F6" s="162" t="s">
        <v>103</v>
      </c>
      <c r="G6" s="132"/>
      <c r="H6" s="132"/>
      <c r="I6" s="132"/>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162</v>
      </c>
      <c r="F8" s="167" t="s">
        <v>106</v>
      </c>
      <c r="G8" s="132"/>
      <c r="H8" s="132"/>
      <c r="I8" s="132"/>
    </row>
    <row r="9" spans="1:9" x14ac:dyDescent="0.3">
      <c r="A9" s="4" t="s">
        <v>1</v>
      </c>
      <c r="B9" s="4" t="s">
        <v>1</v>
      </c>
      <c r="C9" s="4" t="s">
        <v>1</v>
      </c>
      <c r="D9" s="4" t="s">
        <v>1</v>
      </c>
      <c r="E9" s="4" t="s">
        <v>1</v>
      </c>
      <c r="F9" s="4" t="s">
        <v>1</v>
      </c>
      <c r="G9" s="4" t="s">
        <v>1</v>
      </c>
      <c r="H9" s="4" t="s">
        <v>1</v>
      </c>
      <c r="I9" s="4" t="s">
        <v>1</v>
      </c>
    </row>
    <row r="10" spans="1:9" ht="20.399999999999999" x14ac:dyDescent="0.3">
      <c r="A10" s="35" t="s">
        <v>163</v>
      </c>
      <c r="B10" s="168" t="s">
        <v>114</v>
      </c>
      <c r="C10" s="140"/>
      <c r="D10" s="35" t="s">
        <v>118</v>
      </c>
      <c r="E10" s="35" t="s">
        <v>164</v>
      </c>
      <c r="F10" s="35" t="s">
        <v>198</v>
      </c>
      <c r="G10" s="35" t="s">
        <v>131</v>
      </c>
      <c r="H10" s="35" t="s">
        <v>132</v>
      </c>
      <c r="I10" s="35" t="s">
        <v>133</v>
      </c>
    </row>
    <row r="11" spans="1:9" x14ac:dyDescent="0.3">
      <c r="A11" s="36">
        <v>1</v>
      </c>
      <c r="B11" s="163" t="s">
        <v>136</v>
      </c>
      <c r="C11" s="140"/>
      <c r="D11" s="37" t="s">
        <v>140</v>
      </c>
      <c r="E11" s="37" t="s">
        <v>140</v>
      </c>
      <c r="F11" s="36">
        <v>3</v>
      </c>
      <c r="G11" s="37" t="s">
        <v>143</v>
      </c>
      <c r="H11" s="36">
        <v>51.93</v>
      </c>
      <c r="I11" s="36">
        <v>57.73</v>
      </c>
    </row>
    <row r="12" spans="1:9" x14ac:dyDescent="0.3">
      <c r="A12" s="36">
        <v>2</v>
      </c>
      <c r="B12" s="163" t="s">
        <v>144</v>
      </c>
      <c r="C12" s="140"/>
      <c r="D12" s="37" t="s">
        <v>140</v>
      </c>
      <c r="E12" s="37" t="s">
        <v>140</v>
      </c>
      <c r="F12" s="36">
        <v>4</v>
      </c>
      <c r="G12" s="37" t="s">
        <v>143</v>
      </c>
      <c r="H12" s="36">
        <v>62.68</v>
      </c>
      <c r="I12" s="36">
        <v>70.41</v>
      </c>
    </row>
    <row r="13" spans="1:9" x14ac:dyDescent="0.3">
      <c r="A13" s="36">
        <v>3</v>
      </c>
      <c r="B13" s="163" t="s">
        <v>144</v>
      </c>
      <c r="C13" s="140"/>
      <c r="D13" s="37" t="s">
        <v>140</v>
      </c>
      <c r="E13" s="37" t="s">
        <v>140</v>
      </c>
      <c r="F13" s="36">
        <v>5</v>
      </c>
      <c r="G13" s="37" t="s">
        <v>143</v>
      </c>
      <c r="H13" s="36">
        <v>85.56</v>
      </c>
      <c r="I13" s="36">
        <v>95.22</v>
      </c>
    </row>
    <row r="14" spans="1:9" x14ac:dyDescent="0.3">
      <c r="A14" s="36">
        <v>4</v>
      </c>
      <c r="B14" s="163" t="s">
        <v>144</v>
      </c>
      <c r="C14" s="140"/>
      <c r="D14" s="37" t="s">
        <v>140</v>
      </c>
      <c r="E14" s="37" t="s">
        <v>140</v>
      </c>
      <c r="F14" s="36">
        <v>6</v>
      </c>
      <c r="G14" s="37" t="s">
        <v>143</v>
      </c>
      <c r="H14" s="36">
        <v>109.71</v>
      </c>
      <c r="I14" s="36">
        <v>121.3</v>
      </c>
    </row>
    <row r="15" spans="1:9" x14ac:dyDescent="0.3">
      <c r="A15" s="36">
        <v>5</v>
      </c>
      <c r="B15" s="163" t="s">
        <v>144</v>
      </c>
      <c r="C15" s="140"/>
      <c r="D15" s="37" t="s">
        <v>140</v>
      </c>
      <c r="E15" s="37" t="s">
        <v>140</v>
      </c>
      <c r="F15" s="36">
        <v>3</v>
      </c>
      <c r="G15" s="37" t="s">
        <v>143</v>
      </c>
      <c r="H15" s="36">
        <v>59.98</v>
      </c>
      <c r="I15" s="36">
        <v>65.78</v>
      </c>
    </row>
    <row r="16" spans="1:9" x14ac:dyDescent="0.3">
      <c r="A16" s="36">
        <v>6</v>
      </c>
      <c r="B16" s="163" t="s">
        <v>144</v>
      </c>
      <c r="C16" s="140"/>
      <c r="D16" s="37" t="s">
        <v>140</v>
      </c>
      <c r="E16" s="37" t="s">
        <v>140</v>
      </c>
      <c r="F16" s="36">
        <v>3</v>
      </c>
      <c r="G16" s="37" t="s">
        <v>143</v>
      </c>
      <c r="H16" s="36">
        <v>71.39</v>
      </c>
      <c r="I16" s="36">
        <v>77.19</v>
      </c>
    </row>
    <row r="17" spans="1:9" x14ac:dyDescent="0.3">
      <c r="A17" s="36">
        <v>7</v>
      </c>
      <c r="B17" s="163" t="s">
        <v>150</v>
      </c>
      <c r="C17" s="140"/>
      <c r="D17" s="37" t="s">
        <v>153</v>
      </c>
      <c r="E17" s="37" t="s">
        <v>153</v>
      </c>
      <c r="F17" s="36">
        <v>5</v>
      </c>
      <c r="G17" s="37" t="s">
        <v>143</v>
      </c>
      <c r="H17" s="36">
        <v>62.2</v>
      </c>
      <c r="I17" s="36">
        <v>71.86</v>
      </c>
    </row>
    <row r="18" spans="1:9" x14ac:dyDescent="0.3">
      <c r="A18" s="36">
        <v>8</v>
      </c>
      <c r="B18" s="163" t="s">
        <v>154</v>
      </c>
      <c r="C18" s="140"/>
      <c r="D18" s="37" t="s">
        <v>153</v>
      </c>
      <c r="E18" s="37" t="s">
        <v>153</v>
      </c>
      <c r="F18" s="36">
        <v>7</v>
      </c>
      <c r="G18" s="37" t="s">
        <v>143</v>
      </c>
      <c r="H18" s="36">
        <v>96.22</v>
      </c>
      <c r="I18" s="36">
        <v>109.75</v>
      </c>
    </row>
    <row r="19" spans="1:9" x14ac:dyDescent="0.3">
      <c r="A19" s="36">
        <v>9</v>
      </c>
      <c r="B19" s="163" t="s">
        <v>154</v>
      </c>
      <c r="C19" s="140"/>
      <c r="D19" s="37" t="s">
        <v>153</v>
      </c>
      <c r="E19" s="37" t="s">
        <v>153</v>
      </c>
      <c r="F19" s="36">
        <v>12</v>
      </c>
      <c r="G19" s="37" t="s">
        <v>143</v>
      </c>
      <c r="H19" s="36">
        <v>172.43</v>
      </c>
      <c r="I19" s="36">
        <v>195.62</v>
      </c>
    </row>
    <row r="20" spans="1:9" x14ac:dyDescent="0.3">
      <c r="A20" s="36">
        <v>10</v>
      </c>
      <c r="B20" s="163" t="s">
        <v>154</v>
      </c>
      <c r="C20" s="140"/>
      <c r="D20" s="37" t="s">
        <v>153</v>
      </c>
      <c r="E20" s="37" t="s">
        <v>153</v>
      </c>
      <c r="F20" s="36">
        <v>10</v>
      </c>
      <c r="G20" s="37" t="s">
        <v>143</v>
      </c>
      <c r="H20" s="36">
        <v>161.78</v>
      </c>
      <c r="I20" s="36">
        <v>181.1</v>
      </c>
    </row>
    <row r="21" spans="1:9" x14ac:dyDescent="0.3">
      <c r="A21" s="36">
        <v>11</v>
      </c>
      <c r="B21" s="163" t="s">
        <v>154</v>
      </c>
      <c r="C21" s="140"/>
      <c r="D21" s="37" t="s">
        <v>153</v>
      </c>
      <c r="E21" s="37" t="s">
        <v>153</v>
      </c>
      <c r="F21" s="36">
        <v>9</v>
      </c>
      <c r="G21" s="37" t="s">
        <v>143</v>
      </c>
      <c r="H21" s="36">
        <v>148.18</v>
      </c>
      <c r="I21" s="36">
        <v>165.57</v>
      </c>
    </row>
    <row r="22" spans="1:9" x14ac:dyDescent="0.3">
      <c r="A22" s="36">
        <v>12</v>
      </c>
      <c r="B22" s="163" t="s">
        <v>154</v>
      </c>
      <c r="C22" s="140"/>
      <c r="D22" s="37" t="s">
        <v>153</v>
      </c>
      <c r="E22" s="37" t="s">
        <v>153</v>
      </c>
      <c r="F22" s="36">
        <v>7</v>
      </c>
      <c r="G22" s="37" t="s">
        <v>143</v>
      </c>
      <c r="H22" s="36">
        <v>110.94</v>
      </c>
      <c r="I22" s="36">
        <v>124.47</v>
      </c>
    </row>
    <row r="23" spans="1:9" x14ac:dyDescent="0.3">
      <c r="A23" s="166" t="s">
        <v>202</v>
      </c>
      <c r="B23" s="137"/>
      <c r="C23" s="137"/>
      <c r="D23" s="137"/>
      <c r="E23" s="39" t="s">
        <v>1</v>
      </c>
      <c r="F23" s="40">
        <v>74</v>
      </c>
      <c r="G23" s="38" t="s">
        <v>1</v>
      </c>
      <c r="H23" s="40">
        <v>1193</v>
      </c>
      <c r="I23" s="40">
        <v>1336</v>
      </c>
    </row>
    <row r="24" spans="1:9" x14ac:dyDescent="0.3">
      <c r="A24" s="3" t="s">
        <v>1</v>
      </c>
      <c r="B24" s="3" t="s">
        <v>1</v>
      </c>
      <c r="C24" s="3" t="s">
        <v>1</v>
      </c>
      <c r="D24" s="3" t="s">
        <v>1</v>
      </c>
      <c r="E24" s="4" t="s">
        <v>1</v>
      </c>
      <c r="F24" s="4" t="s">
        <v>1</v>
      </c>
      <c r="G24" s="4" t="s">
        <v>1</v>
      </c>
      <c r="H24" s="4" t="s">
        <v>1</v>
      </c>
      <c r="I24" s="4" t="s">
        <v>1</v>
      </c>
    </row>
    <row r="25" spans="1:9" ht="23.7" customHeight="1" x14ac:dyDescent="0.3">
      <c r="A25" s="162" t="s">
        <v>203</v>
      </c>
      <c r="B25" s="132"/>
      <c r="C25" s="163"/>
      <c r="D25" s="139"/>
      <c r="E25" s="139"/>
      <c r="F25" s="139"/>
      <c r="G25" s="139"/>
      <c r="H25" s="139"/>
      <c r="I25" s="140"/>
    </row>
    <row r="26" spans="1:9" x14ac:dyDescent="0.3">
      <c r="A26" s="164" t="s">
        <v>1</v>
      </c>
      <c r="B26" s="165"/>
      <c r="C26" s="165"/>
      <c r="D26" s="165"/>
      <c r="E26" s="4" t="s">
        <v>1</v>
      </c>
      <c r="F26" s="164" t="s">
        <v>1</v>
      </c>
      <c r="G26" s="165"/>
      <c r="H26" s="165"/>
      <c r="I26" s="165"/>
    </row>
    <row r="27" spans="1:9" x14ac:dyDescent="0.3">
      <c r="A27" s="4" t="s">
        <v>158</v>
      </c>
      <c r="B27" s="4" t="s">
        <v>1</v>
      </c>
      <c r="C27" s="4" t="s">
        <v>1</v>
      </c>
      <c r="D27" s="4" t="s">
        <v>1</v>
      </c>
      <c r="E27" s="4" t="s">
        <v>1</v>
      </c>
      <c r="F27" s="4" t="s">
        <v>204</v>
      </c>
      <c r="G27" s="4" t="s">
        <v>1</v>
      </c>
      <c r="H27" s="4" t="s">
        <v>1</v>
      </c>
      <c r="I27" s="4" t="s">
        <v>1</v>
      </c>
    </row>
  </sheetData>
  <mergeCells count="29">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B14:C14"/>
    <mergeCell ref="B15:C15"/>
    <mergeCell ref="B16:C16"/>
    <mergeCell ref="B17:C17"/>
    <mergeCell ref="B18:C18"/>
    <mergeCell ref="A25:B25"/>
    <mergeCell ref="C25:I25"/>
    <mergeCell ref="A26:D26"/>
    <mergeCell ref="F26:I26"/>
    <mergeCell ref="B19:C19"/>
    <mergeCell ref="B20:C20"/>
    <mergeCell ref="B21:C21"/>
    <mergeCell ref="B22:C22"/>
    <mergeCell ref="A23:D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9"/>
  <sheetViews>
    <sheetView showGridLines="0" workbookViewId="0">
      <selection activeCell="B16" sqref="B16:B27"/>
    </sheetView>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142" t="s">
        <v>20</v>
      </c>
      <c r="B1" s="132"/>
      <c r="C1" s="132"/>
      <c r="D1" s="132"/>
      <c r="E1" s="132"/>
      <c r="F1" s="132"/>
      <c r="G1" s="132"/>
      <c r="H1" s="132"/>
      <c r="I1" s="132"/>
      <c r="J1" s="132"/>
      <c r="K1" s="132"/>
      <c r="L1" s="132"/>
      <c r="M1" s="132"/>
      <c r="N1" s="132"/>
      <c r="O1" s="132"/>
      <c r="P1" s="132"/>
      <c r="Q1" s="132"/>
      <c r="R1" s="132"/>
      <c r="S1" s="132"/>
    </row>
    <row r="2" spans="1:19" ht="13.8" customHeight="1" x14ac:dyDescent="0.3">
      <c r="A2" s="143" t="s">
        <v>23</v>
      </c>
      <c r="B2" s="132"/>
      <c r="C2" s="132"/>
      <c r="D2" s="132"/>
      <c r="E2" s="132"/>
      <c r="F2" s="132"/>
      <c r="G2" s="132"/>
      <c r="H2" s="132"/>
      <c r="I2" s="132"/>
      <c r="J2" s="132"/>
      <c r="K2" s="132"/>
      <c r="L2" s="132"/>
      <c r="M2" s="132"/>
      <c r="N2" s="132"/>
      <c r="O2" s="132"/>
      <c r="P2" s="132"/>
      <c r="Q2" s="132"/>
      <c r="R2" s="132"/>
      <c r="S2" s="132"/>
    </row>
    <row r="3" spans="1:19" ht="13.8" customHeight="1" x14ac:dyDescent="0.3">
      <c r="A3" s="143" t="s">
        <v>25</v>
      </c>
      <c r="B3" s="132"/>
      <c r="C3" s="132"/>
      <c r="D3" s="132"/>
      <c r="E3" s="132"/>
      <c r="F3" s="132"/>
      <c r="G3" s="132"/>
      <c r="H3" s="132"/>
      <c r="I3" s="132"/>
      <c r="J3" s="132"/>
      <c r="K3" s="132"/>
      <c r="L3" s="132"/>
      <c r="M3" s="132"/>
      <c r="N3" s="132"/>
      <c r="O3" s="132"/>
      <c r="P3" s="132"/>
      <c r="Q3" s="132"/>
      <c r="R3" s="132"/>
      <c r="S3" s="132"/>
    </row>
    <row r="4" spans="1:19" ht="27.15" customHeight="1" x14ac:dyDescent="0.3">
      <c r="A4" s="144" t="s">
        <v>205</v>
      </c>
      <c r="B4" s="132"/>
      <c r="C4" s="132"/>
      <c r="D4" s="132"/>
      <c r="E4" s="132"/>
      <c r="F4" s="132"/>
      <c r="G4" s="132"/>
      <c r="H4" s="132"/>
      <c r="I4" s="132"/>
      <c r="J4" s="132"/>
      <c r="K4" s="132"/>
      <c r="L4" s="132"/>
      <c r="M4" s="132"/>
      <c r="N4" s="132"/>
      <c r="O4" s="132"/>
      <c r="P4" s="132"/>
      <c r="Q4" s="132"/>
      <c r="R4" s="132"/>
      <c r="S4" s="132"/>
    </row>
    <row r="5" spans="1:19" x14ac:dyDescent="0.3">
      <c r="A5" s="131" t="s">
        <v>206</v>
      </c>
      <c r="B5" s="132"/>
      <c r="C5" s="135" t="s">
        <v>101</v>
      </c>
      <c r="D5" s="132"/>
      <c r="E5" s="132"/>
      <c r="F5" s="10" t="s">
        <v>1</v>
      </c>
      <c r="G5" s="10" t="s">
        <v>1</v>
      </c>
      <c r="H5" s="10" t="s">
        <v>1</v>
      </c>
      <c r="I5" s="10" t="s">
        <v>1</v>
      </c>
      <c r="J5" s="10" t="s">
        <v>1</v>
      </c>
      <c r="K5" s="10" t="s">
        <v>1</v>
      </c>
      <c r="L5" s="10" t="s">
        <v>1</v>
      </c>
      <c r="M5" s="10" t="s">
        <v>1</v>
      </c>
      <c r="N5" s="10" t="s">
        <v>207</v>
      </c>
      <c r="O5" s="141">
        <v>46100</v>
      </c>
      <c r="P5" s="132"/>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131" t="s">
        <v>208</v>
      </c>
      <c r="B7" s="132"/>
      <c r="C7" s="135" t="s">
        <v>20</v>
      </c>
      <c r="D7" s="132"/>
      <c r="E7" s="132"/>
      <c r="F7" s="132"/>
      <c r="G7" s="132"/>
      <c r="H7" s="132"/>
      <c r="I7" s="132"/>
      <c r="J7" s="131" t="s">
        <v>209</v>
      </c>
      <c r="K7" s="132"/>
      <c r="L7" s="135" t="s">
        <v>54</v>
      </c>
      <c r="M7" s="132"/>
      <c r="N7" s="132"/>
      <c r="O7" s="132"/>
      <c r="P7" s="132"/>
      <c r="Q7" s="132"/>
      <c r="R7" s="132"/>
      <c r="S7" s="132"/>
    </row>
    <row r="8" spans="1:19" ht="21" customHeight="1" x14ac:dyDescent="0.3">
      <c r="A8" s="10" t="s">
        <v>1</v>
      </c>
      <c r="B8" s="10" t="s">
        <v>1</v>
      </c>
      <c r="C8" s="131" t="s">
        <v>23</v>
      </c>
      <c r="D8" s="132"/>
      <c r="E8" s="132"/>
      <c r="F8" s="132"/>
      <c r="G8" s="132"/>
      <c r="H8" s="132"/>
      <c r="I8" s="132"/>
      <c r="J8" s="10" t="s">
        <v>1</v>
      </c>
      <c r="K8" s="10" t="s">
        <v>1</v>
      </c>
      <c r="L8" s="131" t="s">
        <v>57</v>
      </c>
      <c r="M8" s="132"/>
      <c r="N8" s="132"/>
      <c r="O8" s="132"/>
      <c r="P8" s="132"/>
      <c r="Q8" s="132"/>
      <c r="R8" s="132"/>
      <c r="S8" s="132"/>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131" t="s">
        <v>210</v>
      </c>
      <c r="B10" s="132"/>
      <c r="C10" s="135" t="s">
        <v>30</v>
      </c>
      <c r="D10" s="132"/>
      <c r="E10" s="132"/>
      <c r="F10" s="132"/>
      <c r="G10" s="132"/>
      <c r="H10" s="132"/>
      <c r="I10" s="132"/>
      <c r="J10" s="131" t="s">
        <v>211</v>
      </c>
      <c r="K10" s="132"/>
      <c r="L10" s="135" t="s">
        <v>212</v>
      </c>
      <c r="M10" s="132"/>
      <c r="N10" s="132"/>
      <c r="O10" s="132"/>
      <c r="P10" s="132"/>
      <c r="Q10" s="132"/>
      <c r="R10" s="132"/>
      <c r="S10" s="132"/>
    </row>
    <row r="11" spans="1:19" ht="28.05" customHeight="1" x14ac:dyDescent="0.3">
      <c r="A11" s="10" t="s">
        <v>1</v>
      </c>
      <c r="B11" s="10" t="s">
        <v>1</v>
      </c>
      <c r="C11" s="131" t="s">
        <v>33</v>
      </c>
      <c r="D11" s="132"/>
      <c r="E11" s="132"/>
      <c r="F11" s="132"/>
      <c r="G11" s="132"/>
      <c r="H11" s="132"/>
      <c r="I11" s="132"/>
      <c r="J11" s="10" t="s">
        <v>1</v>
      </c>
      <c r="K11" s="10" t="s">
        <v>1</v>
      </c>
      <c r="L11" s="131" t="s">
        <v>213</v>
      </c>
      <c r="M11" s="132"/>
      <c r="N11" s="132"/>
      <c r="O11" s="132"/>
      <c r="P11" s="132"/>
      <c r="Q11" s="132"/>
      <c r="R11" s="132"/>
      <c r="S11" s="132"/>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131" t="s">
        <v>214</v>
      </c>
      <c r="B13" s="132"/>
      <c r="C13" s="131"/>
      <c r="D13" s="132"/>
      <c r="E13" s="132"/>
      <c r="F13" s="132"/>
      <c r="G13" s="132"/>
      <c r="H13" s="132"/>
      <c r="I13" s="132"/>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54.6" x14ac:dyDescent="0.3">
      <c r="A15" s="20" t="s">
        <v>215</v>
      </c>
      <c r="B15" s="20" t="s">
        <v>216</v>
      </c>
      <c r="C15" s="20" t="s">
        <v>217</v>
      </c>
      <c r="D15" s="20" t="s">
        <v>218</v>
      </c>
      <c r="E15" s="20" t="s">
        <v>219</v>
      </c>
      <c r="F15" s="20" t="s">
        <v>220</v>
      </c>
      <c r="G15" s="20" t="s">
        <v>221</v>
      </c>
      <c r="H15" s="20" t="s">
        <v>222</v>
      </c>
      <c r="I15" s="20" t="s">
        <v>223</v>
      </c>
      <c r="J15" s="20" t="s">
        <v>224</v>
      </c>
      <c r="K15" s="20" t="s">
        <v>225</v>
      </c>
      <c r="L15" s="20" t="s">
        <v>226</v>
      </c>
      <c r="M15" s="20" t="s">
        <v>227</v>
      </c>
      <c r="N15" s="20" t="s">
        <v>228</v>
      </c>
      <c r="O15" s="20" t="s">
        <v>229</v>
      </c>
      <c r="P15" s="20" t="s">
        <v>230</v>
      </c>
      <c r="Q15" s="20" t="s">
        <v>231</v>
      </c>
      <c r="R15" s="20" t="s">
        <v>232</v>
      </c>
      <c r="S15" s="20" t="s">
        <v>233</v>
      </c>
    </row>
    <row r="16" spans="1:19" ht="58.8" x14ac:dyDescent="0.3">
      <c r="A16" s="21">
        <v>1</v>
      </c>
      <c r="B16" s="22" t="s">
        <v>234</v>
      </c>
      <c r="C16" s="22" t="s">
        <v>235</v>
      </c>
      <c r="D16" s="22" t="s">
        <v>236</v>
      </c>
      <c r="E16" s="22" t="s">
        <v>140</v>
      </c>
      <c r="F16" s="22" t="s">
        <v>140</v>
      </c>
      <c r="G16" s="22" t="s">
        <v>173</v>
      </c>
      <c r="H16" s="22" t="s">
        <v>237</v>
      </c>
      <c r="I16" s="21">
        <v>221</v>
      </c>
      <c r="J16" s="22" t="s">
        <v>238</v>
      </c>
      <c r="K16" s="22" t="s">
        <v>360</v>
      </c>
      <c r="L16" s="22" t="s">
        <v>361</v>
      </c>
      <c r="M16" s="21">
        <v>3.49</v>
      </c>
      <c r="N16" s="21">
        <v>771.29</v>
      </c>
      <c r="O16" s="21">
        <v>0</v>
      </c>
      <c r="P16" s="21">
        <v>3.49</v>
      </c>
      <c r="Q16" s="21">
        <v>771.29</v>
      </c>
      <c r="R16" s="17" t="s">
        <v>141</v>
      </c>
      <c r="S16" s="17" t="s">
        <v>30</v>
      </c>
    </row>
    <row r="17" spans="1:19" ht="58.8" x14ac:dyDescent="0.3">
      <c r="A17" s="21">
        <v>2</v>
      </c>
      <c r="B17" s="22" t="s">
        <v>239</v>
      </c>
      <c r="C17" s="22" t="s">
        <v>240</v>
      </c>
      <c r="D17" s="22" t="s">
        <v>236</v>
      </c>
      <c r="E17" s="22" t="s">
        <v>140</v>
      </c>
      <c r="F17" s="22" t="s">
        <v>140</v>
      </c>
      <c r="G17" s="22" t="s">
        <v>173</v>
      </c>
      <c r="H17" s="22" t="s">
        <v>237</v>
      </c>
      <c r="I17" s="21">
        <v>259</v>
      </c>
      <c r="J17" s="22" t="s">
        <v>238</v>
      </c>
      <c r="K17" s="22" t="s">
        <v>360</v>
      </c>
      <c r="L17" s="22" t="s">
        <v>361</v>
      </c>
      <c r="M17" s="21">
        <v>3.49</v>
      </c>
      <c r="N17" s="21">
        <v>903.91</v>
      </c>
      <c r="O17" s="21">
        <v>0</v>
      </c>
      <c r="P17" s="21">
        <v>3.49</v>
      </c>
      <c r="Q17" s="21">
        <v>903.91</v>
      </c>
      <c r="R17" s="17" t="s">
        <v>141</v>
      </c>
      <c r="S17" s="17" t="s">
        <v>30</v>
      </c>
    </row>
    <row r="18" spans="1:19" ht="58.8" x14ac:dyDescent="0.3">
      <c r="A18" s="21">
        <v>3</v>
      </c>
      <c r="B18" s="22" t="s">
        <v>239</v>
      </c>
      <c r="C18" s="22" t="s">
        <v>241</v>
      </c>
      <c r="D18" s="22" t="s">
        <v>236</v>
      </c>
      <c r="E18" s="22" t="s">
        <v>140</v>
      </c>
      <c r="F18" s="22" t="s">
        <v>140</v>
      </c>
      <c r="G18" s="22" t="s">
        <v>173</v>
      </c>
      <c r="H18" s="22" t="s">
        <v>237</v>
      </c>
      <c r="I18" s="21">
        <v>345</v>
      </c>
      <c r="J18" s="22" t="s">
        <v>238</v>
      </c>
      <c r="K18" s="22" t="s">
        <v>360</v>
      </c>
      <c r="L18" s="22" t="s">
        <v>361</v>
      </c>
      <c r="M18" s="21">
        <v>3.49</v>
      </c>
      <c r="N18" s="21">
        <v>1204.05</v>
      </c>
      <c r="O18" s="21">
        <v>0</v>
      </c>
      <c r="P18" s="21">
        <v>3.49</v>
      </c>
      <c r="Q18" s="21">
        <v>1204.05</v>
      </c>
      <c r="R18" s="17" t="s">
        <v>141</v>
      </c>
      <c r="S18" s="17" t="s">
        <v>30</v>
      </c>
    </row>
    <row r="19" spans="1:19" ht="58.8" x14ac:dyDescent="0.3">
      <c r="A19" s="21">
        <v>4</v>
      </c>
      <c r="B19" s="22" t="s">
        <v>239</v>
      </c>
      <c r="C19" s="22" t="s">
        <v>242</v>
      </c>
      <c r="D19" s="22" t="s">
        <v>236</v>
      </c>
      <c r="E19" s="22" t="s">
        <v>140</v>
      </c>
      <c r="F19" s="22" t="s">
        <v>140</v>
      </c>
      <c r="G19" s="22" t="s">
        <v>173</v>
      </c>
      <c r="H19" s="22" t="s">
        <v>237</v>
      </c>
      <c r="I19" s="21">
        <v>414</v>
      </c>
      <c r="J19" s="22" t="s">
        <v>238</v>
      </c>
      <c r="K19" s="22" t="s">
        <v>360</v>
      </c>
      <c r="L19" s="22" t="s">
        <v>361</v>
      </c>
      <c r="M19" s="21">
        <v>3.49</v>
      </c>
      <c r="N19" s="21">
        <v>1444.86</v>
      </c>
      <c r="O19" s="21">
        <v>0</v>
      </c>
      <c r="P19" s="21">
        <v>3.49</v>
      </c>
      <c r="Q19" s="21">
        <v>1444.86</v>
      </c>
      <c r="R19" s="17" t="s">
        <v>141</v>
      </c>
      <c r="S19" s="17" t="s">
        <v>30</v>
      </c>
    </row>
    <row r="20" spans="1:19" ht="58.8" x14ac:dyDescent="0.3">
      <c r="A20" s="21">
        <v>5</v>
      </c>
      <c r="B20" s="22" t="s">
        <v>239</v>
      </c>
      <c r="C20" s="22" t="s">
        <v>243</v>
      </c>
      <c r="D20" s="22" t="s">
        <v>236</v>
      </c>
      <c r="E20" s="22" t="s">
        <v>140</v>
      </c>
      <c r="F20" s="22" t="s">
        <v>140</v>
      </c>
      <c r="G20" s="22" t="s">
        <v>173</v>
      </c>
      <c r="H20" s="22" t="s">
        <v>237</v>
      </c>
      <c r="I20" s="21">
        <v>209</v>
      </c>
      <c r="J20" s="22" t="s">
        <v>238</v>
      </c>
      <c r="K20" s="22" t="s">
        <v>360</v>
      </c>
      <c r="L20" s="22" t="s">
        <v>361</v>
      </c>
      <c r="M20" s="21">
        <v>3.49</v>
      </c>
      <c r="N20" s="21">
        <v>729.41</v>
      </c>
      <c r="O20" s="21">
        <v>0</v>
      </c>
      <c r="P20" s="21">
        <v>3.49</v>
      </c>
      <c r="Q20" s="21">
        <v>729.41</v>
      </c>
      <c r="R20" s="17" t="s">
        <v>141</v>
      </c>
      <c r="S20" s="17" t="s">
        <v>30</v>
      </c>
    </row>
    <row r="21" spans="1:19" ht="58.8" x14ac:dyDescent="0.3">
      <c r="A21" s="21">
        <v>6</v>
      </c>
      <c r="B21" s="22" t="s">
        <v>239</v>
      </c>
      <c r="C21" s="22" t="s">
        <v>244</v>
      </c>
      <c r="D21" s="22" t="s">
        <v>236</v>
      </c>
      <c r="E21" s="22" t="s">
        <v>140</v>
      </c>
      <c r="F21" s="22" t="s">
        <v>140</v>
      </c>
      <c r="G21" s="22" t="s">
        <v>173</v>
      </c>
      <c r="H21" s="22" t="s">
        <v>237</v>
      </c>
      <c r="I21" s="21">
        <v>242</v>
      </c>
      <c r="J21" s="22" t="s">
        <v>238</v>
      </c>
      <c r="K21" s="22" t="s">
        <v>360</v>
      </c>
      <c r="L21" s="22" t="s">
        <v>361</v>
      </c>
      <c r="M21" s="21">
        <v>3.49</v>
      </c>
      <c r="N21" s="21">
        <v>844.58</v>
      </c>
      <c r="O21" s="21">
        <v>0</v>
      </c>
      <c r="P21" s="21">
        <v>3.49</v>
      </c>
      <c r="Q21" s="21">
        <v>844.58</v>
      </c>
      <c r="R21" s="17" t="s">
        <v>141</v>
      </c>
      <c r="S21" s="17" t="s">
        <v>30</v>
      </c>
    </row>
    <row r="22" spans="1:19" ht="58.8" x14ac:dyDescent="0.3">
      <c r="A22" s="21">
        <v>7</v>
      </c>
      <c r="B22" s="22" t="s">
        <v>245</v>
      </c>
      <c r="C22" s="22" t="s">
        <v>235</v>
      </c>
      <c r="D22" s="22" t="s">
        <v>246</v>
      </c>
      <c r="E22" s="22" t="s">
        <v>153</v>
      </c>
      <c r="F22" s="22" t="s">
        <v>153</v>
      </c>
      <c r="G22" s="22" t="s">
        <v>174</v>
      </c>
      <c r="H22" s="22" t="s">
        <v>247</v>
      </c>
      <c r="I22" s="21">
        <v>435</v>
      </c>
      <c r="J22" s="22" t="s">
        <v>238</v>
      </c>
      <c r="K22" s="22" t="s">
        <v>360</v>
      </c>
      <c r="L22" s="22" t="s">
        <v>361</v>
      </c>
      <c r="M22" s="21">
        <v>1.2</v>
      </c>
      <c r="N22" s="21">
        <v>522</v>
      </c>
      <c r="O22" s="21">
        <v>0</v>
      </c>
      <c r="P22" s="21">
        <v>1.2</v>
      </c>
      <c r="Q22" s="21">
        <v>522</v>
      </c>
      <c r="R22" s="17" t="s">
        <v>141</v>
      </c>
      <c r="S22" s="17" t="s">
        <v>30</v>
      </c>
    </row>
    <row r="23" spans="1:19" ht="58.8" x14ac:dyDescent="0.3">
      <c r="A23" s="21">
        <v>8</v>
      </c>
      <c r="B23" s="22" t="s">
        <v>248</v>
      </c>
      <c r="C23" s="22" t="s">
        <v>240</v>
      </c>
      <c r="D23" s="22" t="s">
        <v>246</v>
      </c>
      <c r="E23" s="22" t="s">
        <v>153</v>
      </c>
      <c r="F23" s="22" t="s">
        <v>153</v>
      </c>
      <c r="G23" s="22" t="s">
        <v>174</v>
      </c>
      <c r="H23" s="22" t="s">
        <v>247</v>
      </c>
      <c r="I23" s="21">
        <v>609</v>
      </c>
      <c r="J23" s="22" t="s">
        <v>238</v>
      </c>
      <c r="K23" s="22" t="s">
        <v>360</v>
      </c>
      <c r="L23" s="22" t="s">
        <v>361</v>
      </c>
      <c r="M23" s="21">
        <v>1.2</v>
      </c>
      <c r="N23" s="21">
        <v>730.8</v>
      </c>
      <c r="O23" s="21">
        <v>0</v>
      </c>
      <c r="P23" s="21">
        <v>1.2</v>
      </c>
      <c r="Q23" s="21">
        <v>730.8</v>
      </c>
      <c r="R23" s="17" t="s">
        <v>141</v>
      </c>
      <c r="S23" s="17" t="s">
        <v>30</v>
      </c>
    </row>
    <row r="24" spans="1:19" ht="58.8" x14ac:dyDescent="0.3">
      <c r="A24" s="21">
        <v>9</v>
      </c>
      <c r="B24" s="22" t="s">
        <v>248</v>
      </c>
      <c r="C24" s="22" t="s">
        <v>241</v>
      </c>
      <c r="D24" s="22" t="s">
        <v>246</v>
      </c>
      <c r="E24" s="22" t="s">
        <v>153</v>
      </c>
      <c r="F24" s="22" t="s">
        <v>153</v>
      </c>
      <c r="G24" s="22" t="s">
        <v>174</v>
      </c>
      <c r="H24" s="22" t="s">
        <v>247</v>
      </c>
      <c r="I24" s="21">
        <v>1045</v>
      </c>
      <c r="J24" s="22" t="s">
        <v>238</v>
      </c>
      <c r="K24" s="22" t="s">
        <v>360</v>
      </c>
      <c r="L24" s="22" t="s">
        <v>361</v>
      </c>
      <c r="M24" s="21">
        <v>1.2</v>
      </c>
      <c r="N24" s="21">
        <v>1254</v>
      </c>
      <c r="O24" s="21">
        <v>0</v>
      </c>
      <c r="P24" s="21">
        <v>1.2</v>
      </c>
      <c r="Q24" s="21">
        <v>1254</v>
      </c>
      <c r="R24" s="17" t="s">
        <v>141</v>
      </c>
      <c r="S24" s="17" t="s">
        <v>30</v>
      </c>
    </row>
    <row r="25" spans="1:19" ht="58.8" x14ac:dyDescent="0.3">
      <c r="A25" s="21">
        <v>10</v>
      </c>
      <c r="B25" s="22" t="s">
        <v>248</v>
      </c>
      <c r="C25" s="22" t="s">
        <v>242</v>
      </c>
      <c r="D25" s="22" t="s">
        <v>246</v>
      </c>
      <c r="E25" s="22" t="s">
        <v>153</v>
      </c>
      <c r="F25" s="22" t="s">
        <v>153</v>
      </c>
      <c r="G25" s="22" t="s">
        <v>174</v>
      </c>
      <c r="H25" s="22" t="s">
        <v>247</v>
      </c>
      <c r="I25" s="21">
        <v>914</v>
      </c>
      <c r="J25" s="22" t="s">
        <v>238</v>
      </c>
      <c r="K25" s="22" t="s">
        <v>360</v>
      </c>
      <c r="L25" s="22" t="s">
        <v>361</v>
      </c>
      <c r="M25" s="21">
        <v>1.2</v>
      </c>
      <c r="N25" s="21">
        <v>1096.8</v>
      </c>
      <c r="O25" s="21">
        <v>0</v>
      </c>
      <c r="P25" s="21">
        <v>1.2</v>
      </c>
      <c r="Q25" s="21">
        <v>1096.8</v>
      </c>
      <c r="R25" s="17" t="s">
        <v>141</v>
      </c>
      <c r="S25" s="17" t="s">
        <v>30</v>
      </c>
    </row>
    <row r="26" spans="1:19" ht="58.8" x14ac:dyDescent="0.3">
      <c r="A26" s="21">
        <v>11</v>
      </c>
      <c r="B26" s="22" t="s">
        <v>248</v>
      </c>
      <c r="C26" s="22" t="s">
        <v>243</v>
      </c>
      <c r="D26" s="22" t="s">
        <v>246</v>
      </c>
      <c r="E26" s="22" t="s">
        <v>153</v>
      </c>
      <c r="F26" s="22" t="s">
        <v>153</v>
      </c>
      <c r="G26" s="22" t="s">
        <v>174</v>
      </c>
      <c r="H26" s="22" t="s">
        <v>247</v>
      </c>
      <c r="I26" s="21">
        <v>784</v>
      </c>
      <c r="J26" s="22" t="s">
        <v>238</v>
      </c>
      <c r="K26" s="22" t="s">
        <v>360</v>
      </c>
      <c r="L26" s="22" t="s">
        <v>361</v>
      </c>
      <c r="M26" s="21">
        <v>1.2</v>
      </c>
      <c r="N26" s="21">
        <v>940.8</v>
      </c>
      <c r="O26" s="21">
        <v>0</v>
      </c>
      <c r="P26" s="21">
        <v>1.2</v>
      </c>
      <c r="Q26" s="21">
        <v>940.8</v>
      </c>
      <c r="R26" s="17" t="s">
        <v>141</v>
      </c>
      <c r="S26" s="17" t="s">
        <v>30</v>
      </c>
    </row>
    <row r="27" spans="1:19" ht="58.8" x14ac:dyDescent="0.3">
      <c r="A27" s="21">
        <v>12</v>
      </c>
      <c r="B27" s="22" t="s">
        <v>248</v>
      </c>
      <c r="C27" s="22" t="s">
        <v>244</v>
      </c>
      <c r="D27" s="22" t="s">
        <v>246</v>
      </c>
      <c r="E27" s="22" t="s">
        <v>153</v>
      </c>
      <c r="F27" s="22" t="s">
        <v>153</v>
      </c>
      <c r="G27" s="22" t="s">
        <v>174</v>
      </c>
      <c r="H27" s="22" t="s">
        <v>247</v>
      </c>
      <c r="I27" s="21">
        <v>566</v>
      </c>
      <c r="J27" s="22" t="s">
        <v>238</v>
      </c>
      <c r="K27" s="22" t="s">
        <v>360</v>
      </c>
      <c r="L27" s="22" t="s">
        <v>361</v>
      </c>
      <c r="M27" s="21">
        <v>1.2</v>
      </c>
      <c r="N27" s="21">
        <v>679.2</v>
      </c>
      <c r="O27" s="21">
        <v>0</v>
      </c>
      <c r="P27" s="21">
        <v>1.2</v>
      </c>
      <c r="Q27" s="21">
        <v>679.2</v>
      </c>
      <c r="R27" s="17" t="s">
        <v>141</v>
      </c>
      <c r="S27" s="17" t="s">
        <v>30</v>
      </c>
    </row>
    <row r="28" spans="1:19" ht="19.2" x14ac:dyDescent="0.3">
      <c r="A28" s="136" t="s">
        <v>249</v>
      </c>
      <c r="B28" s="137"/>
      <c r="C28" s="137"/>
      <c r="D28" s="32" t="s">
        <v>1</v>
      </c>
      <c r="E28" s="32" t="s">
        <v>1</v>
      </c>
      <c r="F28" s="32" t="s">
        <v>1</v>
      </c>
      <c r="G28" s="32" t="s">
        <v>1</v>
      </c>
      <c r="H28" s="32" t="s">
        <v>1</v>
      </c>
      <c r="I28" s="33">
        <v>6043</v>
      </c>
      <c r="J28" s="32" t="s">
        <v>1</v>
      </c>
      <c r="K28" s="32" t="s">
        <v>1</v>
      </c>
      <c r="L28" s="32" t="s">
        <v>1</v>
      </c>
      <c r="M28" s="32" t="s">
        <v>1</v>
      </c>
      <c r="N28" s="33">
        <v>11121.7</v>
      </c>
      <c r="O28" s="32" t="s">
        <v>1</v>
      </c>
      <c r="P28" s="31" t="s">
        <v>250</v>
      </c>
      <c r="Q28" s="33">
        <v>11121.7</v>
      </c>
      <c r="R28" s="32" t="s">
        <v>1</v>
      </c>
      <c r="S28" s="32" t="s">
        <v>1</v>
      </c>
    </row>
    <row r="29" spans="1:19" ht="13.8" customHeight="1" x14ac:dyDescent="0.3">
      <c r="A29" s="138" t="s">
        <v>251</v>
      </c>
      <c r="B29" s="139"/>
      <c r="C29" s="139"/>
      <c r="D29" s="139"/>
      <c r="E29" s="139"/>
      <c r="F29" s="139"/>
      <c r="G29" s="139"/>
      <c r="H29" s="139"/>
      <c r="I29" s="139"/>
      <c r="J29" s="139"/>
      <c r="K29" s="139"/>
      <c r="L29" s="139"/>
      <c r="M29" s="139"/>
      <c r="N29" s="139"/>
      <c r="O29" s="139"/>
      <c r="P29" s="139"/>
      <c r="Q29" s="139"/>
      <c r="R29" s="139"/>
      <c r="S29" s="140"/>
    </row>
    <row r="30" spans="1:19" x14ac:dyDescent="0.3">
      <c r="A30" s="11" t="s">
        <v>1</v>
      </c>
      <c r="B30" s="11" t="s">
        <v>1</v>
      </c>
      <c r="C30" s="11" t="s">
        <v>1</v>
      </c>
      <c r="D30" s="10" t="s">
        <v>1</v>
      </c>
      <c r="E30" s="10" t="s">
        <v>1</v>
      </c>
      <c r="F30" s="10" t="s">
        <v>1</v>
      </c>
      <c r="G30" s="10" t="s">
        <v>1</v>
      </c>
      <c r="H30" s="10" t="s">
        <v>1</v>
      </c>
      <c r="I30" s="10" t="s">
        <v>1</v>
      </c>
      <c r="J30" s="131" t="s">
        <v>252</v>
      </c>
      <c r="K30" s="132"/>
      <c r="L30" s="135" t="s">
        <v>6</v>
      </c>
      <c r="M30" s="132"/>
      <c r="N30" s="132"/>
      <c r="O30" s="10" t="s">
        <v>207</v>
      </c>
      <c r="P30" s="141">
        <v>41990</v>
      </c>
      <c r="Q30" s="132"/>
      <c r="R30" s="10" t="s">
        <v>1</v>
      </c>
      <c r="S30" s="10" t="s">
        <v>1</v>
      </c>
    </row>
    <row r="31" spans="1:19" x14ac:dyDescent="0.3">
      <c r="A31" s="131" t="s">
        <v>253</v>
      </c>
      <c r="B31" s="132"/>
      <c r="C31" s="131" t="s">
        <v>50</v>
      </c>
      <c r="D31" s="132"/>
      <c r="E31" s="132"/>
      <c r="F31" s="132"/>
      <c r="G31" s="132"/>
      <c r="H31" s="132"/>
      <c r="I31" s="132"/>
      <c r="J31" s="10" t="s">
        <v>1</v>
      </c>
      <c r="K31" s="10" t="s">
        <v>1</v>
      </c>
      <c r="L31" s="10" t="s">
        <v>1</v>
      </c>
      <c r="M31" s="10" t="s">
        <v>1</v>
      </c>
      <c r="N31" s="10" t="s">
        <v>1</v>
      </c>
      <c r="O31" s="10" t="s">
        <v>1</v>
      </c>
      <c r="P31" s="10" t="s">
        <v>1</v>
      </c>
      <c r="Q31" s="10" t="s">
        <v>1</v>
      </c>
      <c r="R31" s="10" t="s">
        <v>1</v>
      </c>
      <c r="S31" s="10" t="s">
        <v>1</v>
      </c>
    </row>
    <row r="32" spans="1:19" ht="13.65" customHeight="1" x14ac:dyDescent="0.3">
      <c r="A32" s="131" t="s">
        <v>254</v>
      </c>
      <c r="B32" s="132"/>
      <c r="C32" s="131" t="s">
        <v>10</v>
      </c>
      <c r="D32" s="132"/>
      <c r="E32" s="132"/>
      <c r="F32" s="132"/>
      <c r="G32" s="132"/>
      <c r="H32" s="132"/>
      <c r="I32" s="132"/>
      <c r="J32" s="131" t="s">
        <v>255</v>
      </c>
      <c r="K32" s="132"/>
      <c r="L32" s="131" t="s">
        <v>13</v>
      </c>
      <c r="M32" s="132"/>
      <c r="N32" s="132"/>
      <c r="O32" s="132"/>
      <c r="P32" s="132"/>
      <c r="Q32" s="132"/>
      <c r="R32" s="132"/>
      <c r="S32" s="132"/>
    </row>
    <row r="33" spans="1:19" x14ac:dyDescent="0.3">
      <c r="A33" s="10" t="s">
        <v>1</v>
      </c>
      <c r="B33" s="10" t="s">
        <v>1</v>
      </c>
      <c r="C33" s="10" t="s">
        <v>1</v>
      </c>
      <c r="D33" s="10" t="s">
        <v>1</v>
      </c>
      <c r="E33" s="10" t="s">
        <v>1</v>
      </c>
      <c r="F33" s="10" t="s">
        <v>1</v>
      </c>
      <c r="G33" s="10" t="s">
        <v>1</v>
      </c>
      <c r="H33" s="10" t="s">
        <v>1</v>
      </c>
      <c r="I33" s="10" t="s">
        <v>1</v>
      </c>
      <c r="J33" s="10" t="s">
        <v>1</v>
      </c>
      <c r="K33" s="10" t="s">
        <v>1</v>
      </c>
      <c r="L33" s="10" t="s">
        <v>1</v>
      </c>
      <c r="M33" s="10" t="s">
        <v>1</v>
      </c>
      <c r="N33" s="10" t="s">
        <v>1</v>
      </c>
      <c r="O33" s="10" t="s">
        <v>1</v>
      </c>
      <c r="P33" s="10" t="s">
        <v>1</v>
      </c>
      <c r="Q33" s="10" t="s">
        <v>1</v>
      </c>
      <c r="R33" s="10" t="s">
        <v>1</v>
      </c>
      <c r="S33" s="10" t="s">
        <v>1</v>
      </c>
    </row>
    <row r="34" spans="1:19" x14ac:dyDescent="0.3">
      <c r="A34" s="134" t="s">
        <v>256</v>
      </c>
      <c r="B34" s="132"/>
      <c r="C34" s="132"/>
      <c r="D34" s="132"/>
      <c r="E34" s="10" t="s">
        <v>1</v>
      </c>
      <c r="F34" s="10" t="s">
        <v>1</v>
      </c>
      <c r="G34" s="10" t="s">
        <v>1</v>
      </c>
      <c r="H34" s="10" t="s">
        <v>1</v>
      </c>
      <c r="I34" s="10" t="s">
        <v>1</v>
      </c>
      <c r="J34" s="10" t="s">
        <v>1</v>
      </c>
      <c r="K34" s="10" t="s">
        <v>1</v>
      </c>
      <c r="L34" s="10" t="s">
        <v>1</v>
      </c>
      <c r="M34" s="10" t="s">
        <v>1</v>
      </c>
      <c r="N34" s="10" t="s">
        <v>1</v>
      </c>
      <c r="O34" s="10" t="s">
        <v>1</v>
      </c>
      <c r="P34" s="10" t="s">
        <v>1</v>
      </c>
      <c r="Q34" s="10" t="s">
        <v>1</v>
      </c>
      <c r="R34" s="10" t="s">
        <v>1</v>
      </c>
      <c r="S34" s="10" t="s">
        <v>1</v>
      </c>
    </row>
    <row r="35" spans="1:19" x14ac:dyDescent="0.3">
      <c r="A35" s="10" t="s">
        <v>1</v>
      </c>
      <c r="B35" s="11" t="s">
        <v>208</v>
      </c>
      <c r="C35" s="10" t="s">
        <v>1</v>
      </c>
      <c r="D35" s="10" t="s">
        <v>1</v>
      </c>
      <c r="E35" s="10" t="s">
        <v>1</v>
      </c>
      <c r="F35" s="10" t="s">
        <v>1</v>
      </c>
      <c r="G35" s="10" t="s">
        <v>1</v>
      </c>
      <c r="H35" s="10" t="s">
        <v>1</v>
      </c>
      <c r="I35" s="10" t="s">
        <v>1</v>
      </c>
      <c r="J35" s="10" t="s">
        <v>1</v>
      </c>
      <c r="K35" s="10" t="s">
        <v>1</v>
      </c>
      <c r="L35" s="135" t="s">
        <v>209</v>
      </c>
      <c r="M35" s="132"/>
      <c r="N35" s="10" t="s">
        <v>1</v>
      </c>
      <c r="O35" s="10" t="s">
        <v>1</v>
      </c>
      <c r="P35" s="10" t="s">
        <v>1</v>
      </c>
      <c r="Q35" s="10" t="s">
        <v>1</v>
      </c>
      <c r="R35" s="10" t="s">
        <v>1</v>
      </c>
      <c r="S35" s="10" t="s">
        <v>1</v>
      </c>
    </row>
    <row r="36" spans="1:19" ht="13.8" customHeight="1" x14ac:dyDescent="0.3">
      <c r="A36" s="131" t="s">
        <v>257</v>
      </c>
      <c r="B36" s="132"/>
      <c r="C36" s="131" t="s">
        <v>36</v>
      </c>
      <c r="D36" s="132"/>
      <c r="E36" s="132"/>
      <c r="F36" s="132"/>
      <c r="G36" s="132"/>
      <c r="H36" s="132"/>
      <c r="I36" s="132"/>
      <c r="J36" s="133" t="s">
        <v>257</v>
      </c>
      <c r="K36" s="132"/>
      <c r="L36" s="131" t="s">
        <v>62</v>
      </c>
      <c r="M36" s="132"/>
      <c r="N36" s="132"/>
      <c r="O36" s="132"/>
      <c r="P36" s="132"/>
      <c r="Q36" s="132"/>
      <c r="R36" s="132"/>
      <c r="S36" s="132"/>
    </row>
    <row r="37" spans="1:19" ht="13.8" customHeight="1" x14ac:dyDescent="0.3">
      <c r="A37" s="131" t="s">
        <v>258</v>
      </c>
      <c r="B37" s="132"/>
      <c r="C37" s="131" t="s">
        <v>42</v>
      </c>
      <c r="D37" s="132"/>
      <c r="E37" s="132"/>
      <c r="F37" s="132"/>
      <c r="G37" s="132"/>
      <c r="H37" s="132"/>
      <c r="I37" s="132"/>
      <c r="J37" s="133" t="s">
        <v>258</v>
      </c>
      <c r="K37" s="132"/>
      <c r="L37" s="131" t="s">
        <v>67</v>
      </c>
      <c r="M37" s="132"/>
      <c r="N37" s="132"/>
      <c r="O37" s="132"/>
      <c r="P37" s="132"/>
      <c r="Q37" s="132"/>
      <c r="R37" s="132"/>
      <c r="S37" s="132"/>
    </row>
    <row r="38" spans="1:19" ht="13.8" customHeight="1" x14ac:dyDescent="0.3">
      <c r="A38" s="131" t="s">
        <v>259</v>
      </c>
      <c r="B38" s="132"/>
      <c r="C38" s="131"/>
      <c r="D38" s="132"/>
      <c r="E38" s="132"/>
      <c r="F38" s="132"/>
      <c r="G38" s="132"/>
      <c r="H38" s="132"/>
      <c r="I38" s="132"/>
      <c r="J38" s="133" t="s">
        <v>259</v>
      </c>
      <c r="K38" s="132"/>
      <c r="L38" s="131"/>
      <c r="M38" s="132"/>
      <c r="N38" s="132"/>
      <c r="O38" s="132"/>
      <c r="P38" s="132"/>
      <c r="Q38" s="132"/>
      <c r="R38" s="132"/>
      <c r="S38" s="132"/>
    </row>
    <row r="39" spans="1:19" ht="22.8" customHeight="1" x14ac:dyDescent="0.3">
      <c r="A39" s="131" t="s">
        <v>260</v>
      </c>
      <c r="B39" s="132"/>
      <c r="C39" s="131" t="s">
        <v>38</v>
      </c>
      <c r="D39" s="132"/>
      <c r="E39" s="132"/>
      <c r="F39" s="132"/>
      <c r="G39" s="132"/>
      <c r="H39" s="132"/>
      <c r="I39" s="132"/>
      <c r="J39" s="133" t="s">
        <v>260</v>
      </c>
      <c r="K39" s="132"/>
      <c r="L39" s="131" t="s">
        <v>65</v>
      </c>
      <c r="M39" s="132"/>
      <c r="N39" s="132"/>
      <c r="O39" s="132"/>
      <c r="P39" s="132"/>
      <c r="Q39" s="132"/>
      <c r="R39" s="132"/>
      <c r="S39" s="132"/>
    </row>
    <row r="40" spans="1:19" x14ac:dyDescent="0.3">
      <c r="A40" s="10" t="s">
        <v>1</v>
      </c>
      <c r="B40" s="10" t="s">
        <v>1</v>
      </c>
      <c r="C40" s="10" t="s">
        <v>1</v>
      </c>
      <c r="D40" s="10" t="s">
        <v>1</v>
      </c>
      <c r="E40" s="10" t="s">
        <v>1</v>
      </c>
      <c r="F40" s="10" t="s">
        <v>1</v>
      </c>
      <c r="G40" s="10" t="s">
        <v>1</v>
      </c>
      <c r="H40" s="10" t="s">
        <v>1</v>
      </c>
      <c r="I40" s="10" t="s">
        <v>1</v>
      </c>
      <c r="J40" s="133" t="s">
        <v>261</v>
      </c>
      <c r="K40" s="132"/>
      <c r="L40" s="133"/>
      <c r="M40" s="132"/>
      <c r="N40" s="132"/>
      <c r="O40" s="132"/>
      <c r="P40" s="132"/>
      <c r="Q40" s="132"/>
      <c r="R40" s="132"/>
      <c r="S40" s="132"/>
    </row>
    <row r="41" spans="1:19" ht="13.8" customHeight="1" x14ac:dyDescent="0.3">
      <c r="A41" s="131" t="s">
        <v>262</v>
      </c>
      <c r="B41" s="132"/>
      <c r="C41" s="131" t="s">
        <v>20</v>
      </c>
      <c r="D41" s="132"/>
      <c r="E41" s="132"/>
      <c r="F41" s="132"/>
      <c r="G41" s="132"/>
      <c r="H41" s="132"/>
      <c r="I41" s="132"/>
      <c r="J41" s="133" t="s">
        <v>262</v>
      </c>
      <c r="K41" s="132"/>
      <c r="L41" s="131" t="s">
        <v>54</v>
      </c>
      <c r="M41" s="132"/>
      <c r="N41" s="132"/>
      <c r="O41" s="132"/>
      <c r="P41" s="132"/>
      <c r="Q41" s="132"/>
      <c r="R41" s="132"/>
      <c r="S41" s="132"/>
    </row>
    <row r="42" spans="1:19" ht="13.8" customHeight="1" x14ac:dyDescent="0.3">
      <c r="A42" s="131" t="s">
        <v>263</v>
      </c>
      <c r="B42" s="132"/>
      <c r="C42" s="131" t="s">
        <v>44</v>
      </c>
      <c r="D42" s="132"/>
      <c r="E42" s="132"/>
      <c r="F42" s="132"/>
      <c r="G42" s="132"/>
      <c r="H42" s="132"/>
      <c r="I42" s="132"/>
      <c r="J42" s="133" t="s">
        <v>264</v>
      </c>
      <c r="K42" s="132"/>
      <c r="L42" s="131" t="s">
        <v>69</v>
      </c>
      <c r="M42" s="132"/>
      <c r="N42" s="132"/>
      <c r="O42" s="132"/>
      <c r="P42" s="132"/>
      <c r="Q42" s="132"/>
      <c r="R42" s="132"/>
      <c r="S42" s="132"/>
    </row>
    <row r="43" spans="1:19" x14ac:dyDescent="0.3">
      <c r="A43" s="10" t="s">
        <v>1</v>
      </c>
      <c r="B43" s="10" t="s">
        <v>1</v>
      </c>
      <c r="C43" s="10" t="s">
        <v>1</v>
      </c>
      <c r="D43" s="10" t="s">
        <v>1</v>
      </c>
      <c r="E43" s="10" t="s">
        <v>1</v>
      </c>
      <c r="F43" s="10" t="s">
        <v>1</v>
      </c>
      <c r="G43" s="10" t="s">
        <v>1</v>
      </c>
      <c r="H43" s="10" t="s">
        <v>1</v>
      </c>
      <c r="I43" s="10" t="s">
        <v>1</v>
      </c>
      <c r="J43" s="133" t="s">
        <v>265</v>
      </c>
      <c r="K43" s="132"/>
      <c r="L43" s="131" t="s">
        <v>71</v>
      </c>
      <c r="M43" s="132"/>
      <c r="N43" s="132"/>
      <c r="O43" s="132"/>
      <c r="P43" s="132"/>
      <c r="Q43" s="132"/>
      <c r="R43" s="132"/>
      <c r="S43" s="132"/>
    </row>
    <row r="44" spans="1:19" ht="13.65" customHeight="1" x14ac:dyDescent="0.3">
      <c r="A44" s="131" t="s">
        <v>266</v>
      </c>
      <c r="B44" s="132"/>
      <c r="C44" s="131" t="s">
        <v>25</v>
      </c>
      <c r="D44" s="132"/>
      <c r="E44" s="132"/>
      <c r="F44" s="132"/>
      <c r="G44" s="132"/>
      <c r="H44" s="132"/>
      <c r="I44" s="132"/>
      <c r="J44" s="133" t="s">
        <v>266</v>
      </c>
      <c r="K44" s="132"/>
      <c r="L44" s="131" t="s">
        <v>60</v>
      </c>
      <c r="M44" s="132"/>
      <c r="N44" s="132"/>
      <c r="O44" s="132"/>
      <c r="P44" s="132"/>
      <c r="Q44" s="132"/>
      <c r="R44" s="132"/>
      <c r="S44" s="132"/>
    </row>
    <row r="45" spans="1:19" ht="13.8" customHeight="1" x14ac:dyDescent="0.3">
      <c r="A45" s="131" t="s">
        <v>267</v>
      </c>
      <c r="B45" s="132"/>
      <c r="C45" s="131" t="s">
        <v>23</v>
      </c>
      <c r="D45" s="132"/>
      <c r="E45" s="132"/>
      <c r="F45" s="132"/>
      <c r="G45" s="132"/>
      <c r="H45" s="132"/>
      <c r="I45" s="132"/>
      <c r="J45" s="133" t="s">
        <v>267</v>
      </c>
      <c r="K45" s="132"/>
      <c r="L45" s="131" t="s">
        <v>57</v>
      </c>
      <c r="M45" s="132"/>
      <c r="N45" s="132"/>
      <c r="O45" s="132"/>
      <c r="P45" s="132"/>
      <c r="Q45" s="132"/>
      <c r="R45" s="132"/>
      <c r="S45" s="132"/>
    </row>
    <row r="46" spans="1:19" x14ac:dyDescent="0.3">
      <c r="A46" s="131" t="s">
        <v>1</v>
      </c>
      <c r="B46" s="132"/>
      <c r="C46" s="132"/>
      <c r="D46" s="132"/>
      <c r="E46" s="132"/>
      <c r="F46" s="132"/>
      <c r="G46" s="132"/>
      <c r="H46" s="132"/>
      <c r="I46" s="132"/>
      <c r="J46" s="10" t="s">
        <v>1</v>
      </c>
      <c r="K46" s="131" t="s">
        <v>1</v>
      </c>
      <c r="L46" s="132"/>
      <c r="M46" s="132"/>
      <c r="N46" s="132"/>
      <c r="O46" s="132"/>
      <c r="P46" s="132"/>
      <c r="Q46" s="132"/>
      <c r="R46" s="132"/>
      <c r="S46" s="132"/>
    </row>
    <row r="47" spans="1:19" x14ac:dyDescent="0.3">
      <c r="A47" s="129" t="s">
        <v>208</v>
      </c>
      <c r="B47" s="130"/>
      <c r="C47" s="29" t="s">
        <v>1</v>
      </c>
      <c r="D47" s="29" t="s">
        <v>1</v>
      </c>
      <c r="E47" s="29" t="s">
        <v>1</v>
      </c>
      <c r="F47" s="29" t="s">
        <v>1</v>
      </c>
      <c r="G47" s="29" t="s">
        <v>1</v>
      </c>
      <c r="H47" s="10" t="s">
        <v>1</v>
      </c>
      <c r="I47" s="10" t="s">
        <v>1</v>
      </c>
      <c r="J47" s="10" t="s">
        <v>1</v>
      </c>
      <c r="K47" s="129" t="s">
        <v>209</v>
      </c>
      <c r="L47" s="130"/>
      <c r="M47" s="29" t="s">
        <v>1</v>
      </c>
      <c r="N47" s="29" t="s">
        <v>1</v>
      </c>
      <c r="O47" s="29" t="s">
        <v>1</v>
      </c>
      <c r="P47" s="29" t="s">
        <v>1</v>
      </c>
      <c r="Q47" s="29" t="s">
        <v>1</v>
      </c>
      <c r="R47" s="10" t="s">
        <v>1</v>
      </c>
      <c r="S47" s="10" t="s">
        <v>1</v>
      </c>
    </row>
    <row r="48" spans="1:19" x14ac:dyDescent="0.3">
      <c r="A48" s="131" t="s">
        <v>1</v>
      </c>
      <c r="B48" s="132"/>
      <c r="C48" s="132"/>
      <c r="D48" s="132"/>
      <c r="E48" s="132"/>
      <c r="F48" s="132"/>
      <c r="G48" s="132"/>
      <c r="H48" s="132"/>
      <c r="I48" s="132"/>
      <c r="J48" s="132"/>
      <c r="K48" s="132"/>
      <c r="L48" s="132"/>
      <c r="M48" s="132"/>
      <c r="N48" s="132"/>
      <c r="O48" s="132"/>
      <c r="P48" s="132"/>
      <c r="Q48" s="132"/>
      <c r="R48" s="10" t="s">
        <v>1</v>
      </c>
      <c r="S48" s="10" t="s">
        <v>1</v>
      </c>
    </row>
    <row r="49" spans="1:19" x14ac:dyDescent="0.3">
      <c r="A49" s="131" t="s">
        <v>268</v>
      </c>
      <c r="B49" s="132"/>
      <c r="C49" s="132"/>
      <c r="D49" s="132"/>
      <c r="E49" s="132"/>
      <c r="F49" s="132"/>
      <c r="G49" s="132"/>
      <c r="H49" s="132"/>
      <c r="I49" s="132"/>
      <c r="J49" s="132"/>
      <c r="K49" s="132"/>
      <c r="L49" s="132"/>
      <c r="M49" s="132"/>
      <c r="N49" s="132"/>
      <c r="O49" s="132"/>
      <c r="P49" s="132"/>
      <c r="Q49" s="132"/>
      <c r="R49" s="10" t="s">
        <v>1</v>
      </c>
      <c r="S49" s="10"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8:C28"/>
    <mergeCell ref="A29:S29"/>
    <mergeCell ref="J30:K30"/>
    <mergeCell ref="L30:N30"/>
    <mergeCell ref="P30:Q30"/>
    <mergeCell ref="A31:B31"/>
    <mergeCell ref="C31:I31"/>
    <mergeCell ref="A32:B32"/>
    <mergeCell ref="C32:I32"/>
    <mergeCell ref="J32:K32"/>
    <mergeCell ref="L32:S32"/>
    <mergeCell ref="A34:D34"/>
    <mergeCell ref="L35:M35"/>
    <mergeCell ref="A36:B36"/>
    <mergeCell ref="C36:I36"/>
    <mergeCell ref="J36:K36"/>
    <mergeCell ref="L36:S36"/>
    <mergeCell ref="A37:B37"/>
    <mergeCell ref="C37:I37"/>
    <mergeCell ref="J37:K37"/>
    <mergeCell ref="L37:S37"/>
    <mergeCell ref="A38:B38"/>
    <mergeCell ref="C38:I38"/>
    <mergeCell ref="J38:K38"/>
    <mergeCell ref="L38:S38"/>
    <mergeCell ref="A39:B39"/>
    <mergeCell ref="C39:I39"/>
    <mergeCell ref="J39:K39"/>
    <mergeCell ref="L39:S39"/>
    <mergeCell ref="J40:K40"/>
    <mergeCell ref="L40:S40"/>
    <mergeCell ref="A41:B41"/>
    <mergeCell ref="C41:I41"/>
    <mergeCell ref="J41:K41"/>
    <mergeCell ref="L41:S41"/>
    <mergeCell ref="A42:B42"/>
    <mergeCell ref="C42:I42"/>
    <mergeCell ref="J42:K42"/>
    <mergeCell ref="L42:S42"/>
    <mergeCell ref="J43:K43"/>
    <mergeCell ref="L43:S43"/>
    <mergeCell ref="A44:B44"/>
    <mergeCell ref="C44:I44"/>
    <mergeCell ref="J44:K44"/>
    <mergeCell ref="L44:S44"/>
    <mergeCell ref="A47:B47"/>
    <mergeCell ref="K47:L47"/>
    <mergeCell ref="A48:Q48"/>
    <mergeCell ref="A49:Q49"/>
    <mergeCell ref="A45:B45"/>
    <mergeCell ref="C45:I45"/>
    <mergeCell ref="J45:K45"/>
    <mergeCell ref="L45:S45"/>
    <mergeCell ref="A46:I46"/>
    <mergeCell ref="K46:S46"/>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9"/>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142" t="s">
        <v>20</v>
      </c>
      <c r="B1" s="132"/>
      <c r="C1" s="132"/>
      <c r="D1" s="132"/>
      <c r="E1" s="132"/>
      <c r="F1" s="132"/>
      <c r="G1" s="132"/>
      <c r="H1" s="132"/>
      <c r="I1" s="132"/>
      <c r="J1" s="132"/>
      <c r="K1" s="132"/>
      <c r="L1" s="132"/>
      <c r="M1" s="132"/>
      <c r="N1" s="132"/>
      <c r="O1" s="132"/>
      <c r="P1" s="132"/>
      <c r="Q1" s="132"/>
    </row>
    <row r="2" spans="1:17" ht="14.1" customHeight="1" x14ac:dyDescent="0.3">
      <c r="A2" s="143" t="s">
        <v>23</v>
      </c>
      <c r="B2" s="132"/>
      <c r="C2" s="132"/>
      <c r="D2" s="132"/>
      <c r="E2" s="132"/>
      <c r="F2" s="132"/>
      <c r="G2" s="132"/>
      <c r="H2" s="132"/>
      <c r="I2" s="132"/>
      <c r="J2" s="132"/>
      <c r="K2" s="132"/>
      <c r="L2" s="132"/>
      <c r="M2" s="132"/>
      <c r="N2" s="132"/>
      <c r="O2" s="132"/>
      <c r="P2" s="132"/>
      <c r="Q2" s="132"/>
    </row>
    <row r="3" spans="1:17" ht="14.1" customHeight="1" x14ac:dyDescent="0.3">
      <c r="A3" s="143" t="s">
        <v>25</v>
      </c>
      <c r="B3" s="132"/>
      <c r="C3" s="132"/>
      <c r="D3" s="132"/>
      <c r="E3" s="132"/>
      <c r="F3" s="132"/>
      <c r="G3" s="132"/>
      <c r="H3" s="132"/>
      <c r="I3" s="132"/>
      <c r="J3" s="132"/>
      <c r="K3" s="132"/>
      <c r="L3" s="132"/>
      <c r="M3" s="132"/>
      <c r="N3" s="132"/>
      <c r="O3" s="132"/>
      <c r="P3" s="132"/>
      <c r="Q3" s="132"/>
    </row>
    <row r="4" spans="1:17" ht="25.2" customHeight="1" x14ac:dyDescent="0.3">
      <c r="A4" s="144" t="s">
        <v>269</v>
      </c>
      <c r="B4" s="132"/>
      <c r="C4" s="132"/>
      <c r="D4" s="132"/>
      <c r="E4" s="132"/>
      <c r="F4" s="132"/>
      <c r="G4" s="132"/>
      <c r="H4" s="132"/>
      <c r="I4" s="132"/>
      <c r="J4" s="132"/>
      <c r="K4" s="132"/>
      <c r="L4" s="132"/>
      <c r="M4" s="132"/>
      <c r="N4" s="132"/>
      <c r="O4" s="132"/>
      <c r="P4" s="132"/>
      <c r="Q4" s="132"/>
    </row>
    <row r="5" spans="1:17" x14ac:dyDescent="0.3">
      <c r="A5" s="131" t="s">
        <v>270</v>
      </c>
      <c r="B5" s="132"/>
      <c r="C5" s="135" t="s">
        <v>97</v>
      </c>
      <c r="D5" s="132"/>
      <c r="E5" s="132"/>
      <c r="F5" s="132"/>
      <c r="G5" s="10" t="s">
        <v>1</v>
      </c>
      <c r="H5" s="10" t="s">
        <v>1</v>
      </c>
      <c r="I5" s="10" t="s">
        <v>1</v>
      </c>
      <c r="J5" s="10" t="s">
        <v>1</v>
      </c>
      <c r="K5" s="10" t="s">
        <v>1</v>
      </c>
      <c r="L5" s="10" t="s">
        <v>1</v>
      </c>
      <c r="M5" s="10" t="s">
        <v>1</v>
      </c>
      <c r="N5" s="10" t="s">
        <v>207</v>
      </c>
      <c r="O5" s="141">
        <v>46101</v>
      </c>
      <c r="P5" s="132"/>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131" t="s">
        <v>208</v>
      </c>
      <c r="B7" s="132"/>
      <c r="C7" s="135" t="s">
        <v>20</v>
      </c>
      <c r="D7" s="132"/>
      <c r="E7" s="132"/>
      <c r="F7" s="132"/>
      <c r="G7" s="132"/>
      <c r="H7" s="132"/>
      <c r="I7" s="131" t="s">
        <v>209</v>
      </c>
      <c r="J7" s="132"/>
      <c r="K7" s="135" t="s">
        <v>54</v>
      </c>
      <c r="L7" s="132"/>
      <c r="M7" s="132"/>
      <c r="N7" s="132"/>
      <c r="O7" s="132"/>
      <c r="P7" s="132"/>
      <c r="Q7" s="132"/>
    </row>
    <row r="8" spans="1:17" ht="30" customHeight="1" x14ac:dyDescent="0.3">
      <c r="A8" s="10" t="s">
        <v>1</v>
      </c>
      <c r="B8" s="10" t="s">
        <v>1</v>
      </c>
      <c r="C8" s="131" t="s">
        <v>23</v>
      </c>
      <c r="D8" s="132"/>
      <c r="E8" s="132"/>
      <c r="F8" s="132"/>
      <c r="G8" s="132"/>
      <c r="H8" s="132"/>
      <c r="I8" s="10" t="s">
        <v>1</v>
      </c>
      <c r="J8" s="10" t="s">
        <v>1</v>
      </c>
      <c r="K8" s="131" t="s">
        <v>57</v>
      </c>
      <c r="L8" s="132"/>
      <c r="M8" s="132"/>
      <c r="N8" s="132"/>
      <c r="O8" s="132"/>
      <c r="P8" s="132"/>
      <c r="Q8" s="132"/>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131" t="s">
        <v>210</v>
      </c>
      <c r="B10" s="132"/>
      <c r="C10" s="135" t="s">
        <v>30</v>
      </c>
      <c r="D10" s="132"/>
      <c r="E10" s="132"/>
      <c r="F10" s="132"/>
      <c r="G10" s="132"/>
      <c r="H10" s="132"/>
      <c r="I10" s="131" t="s">
        <v>211</v>
      </c>
      <c r="J10" s="132"/>
      <c r="K10" s="135" t="s">
        <v>212</v>
      </c>
      <c r="L10" s="132"/>
      <c r="M10" s="132"/>
      <c r="N10" s="132"/>
      <c r="O10" s="132"/>
      <c r="P10" s="132"/>
      <c r="Q10" s="132"/>
    </row>
    <row r="11" spans="1:17" ht="27" customHeight="1" x14ac:dyDescent="0.3">
      <c r="A11" s="10" t="s">
        <v>1</v>
      </c>
      <c r="B11" s="10" t="s">
        <v>1</v>
      </c>
      <c r="C11" s="131" t="s">
        <v>33</v>
      </c>
      <c r="D11" s="132"/>
      <c r="E11" s="132"/>
      <c r="F11" s="132"/>
      <c r="G11" s="132"/>
      <c r="H11" s="132"/>
      <c r="I11" s="10" t="s">
        <v>1</v>
      </c>
      <c r="J11" s="10" t="s">
        <v>1</v>
      </c>
      <c r="K11" s="131" t="s">
        <v>213</v>
      </c>
      <c r="L11" s="132"/>
      <c r="M11" s="132"/>
      <c r="N11" s="132"/>
      <c r="O11" s="132"/>
      <c r="P11" s="132"/>
      <c r="Q11" s="132"/>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131" t="s">
        <v>271</v>
      </c>
      <c r="B13" s="132"/>
      <c r="C13" s="131"/>
      <c r="D13" s="132"/>
      <c r="E13" s="132"/>
      <c r="F13" s="132"/>
      <c r="G13" s="132"/>
      <c r="H13" s="132"/>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67.2" x14ac:dyDescent="0.3">
      <c r="A15" s="30" t="s">
        <v>215</v>
      </c>
      <c r="B15" s="30" t="s">
        <v>216</v>
      </c>
      <c r="C15" s="30" t="s">
        <v>217</v>
      </c>
      <c r="D15" s="30" t="s">
        <v>218</v>
      </c>
      <c r="E15" s="30" t="s">
        <v>219</v>
      </c>
      <c r="F15" s="30" t="s">
        <v>220</v>
      </c>
      <c r="G15" s="30" t="s">
        <v>222</v>
      </c>
      <c r="H15" s="30" t="s">
        <v>223</v>
      </c>
      <c r="I15" s="30" t="s">
        <v>272</v>
      </c>
      <c r="J15" s="30" t="s">
        <v>225</v>
      </c>
      <c r="K15" s="30" t="s">
        <v>226</v>
      </c>
      <c r="L15" s="30" t="s">
        <v>273</v>
      </c>
      <c r="M15" s="30" t="s">
        <v>227</v>
      </c>
      <c r="N15" s="30" t="s">
        <v>228</v>
      </c>
      <c r="O15" s="30" t="s">
        <v>229</v>
      </c>
      <c r="P15" s="30" t="s">
        <v>230</v>
      </c>
      <c r="Q15" s="30" t="s">
        <v>231</v>
      </c>
    </row>
    <row r="16" spans="1:17" ht="38.4" x14ac:dyDescent="0.3">
      <c r="A16" s="21">
        <v>1</v>
      </c>
      <c r="B16" s="22" t="s">
        <v>234</v>
      </c>
      <c r="C16" s="22" t="s">
        <v>235</v>
      </c>
      <c r="D16" s="22" t="s">
        <v>236</v>
      </c>
      <c r="E16" s="22" t="s">
        <v>140</v>
      </c>
      <c r="F16" s="22" t="s">
        <v>140</v>
      </c>
      <c r="G16" s="22" t="s">
        <v>237</v>
      </c>
      <c r="H16" s="21">
        <v>221</v>
      </c>
      <c r="I16" s="22" t="s">
        <v>238</v>
      </c>
      <c r="J16" s="22" t="s">
        <v>360</v>
      </c>
      <c r="K16" s="22" t="s">
        <v>361</v>
      </c>
      <c r="L16" s="22"/>
      <c r="M16" s="21">
        <v>3.49</v>
      </c>
      <c r="N16" s="21">
        <v>771.29</v>
      </c>
      <c r="O16" s="21">
        <v>0</v>
      </c>
      <c r="P16" s="21">
        <v>3.49</v>
      </c>
      <c r="Q16" s="21">
        <v>771.29</v>
      </c>
    </row>
    <row r="17" spans="1:17" ht="38.4" x14ac:dyDescent="0.3">
      <c r="A17" s="21">
        <v>2</v>
      </c>
      <c r="B17" s="22" t="s">
        <v>239</v>
      </c>
      <c r="C17" s="22" t="s">
        <v>240</v>
      </c>
      <c r="D17" s="22" t="s">
        <v>236</v>
      </c>
      <c r="E17" s="22" t="s">
        <v>140</v>
      </c>
      <c r="F17" s="22" t="s">
        <v>140</v>
      </c>
      <c r="G17" s="22" t="s">
        <v>237</v>
      </c>
      <c r="H17" s="21">
        <v>259</v>
      </c>
      <c r="I17" s="22" t="s">
        <v>238</v>
      </c>
      <c r="J17" s="22" t="s">
        <v>360</v>
      </c>
      <c r="K17" s="22" t="s">
        <v>361</v>
      </c>
      <c r="L17" s="22"/>
      <c r="M17" s="21">
        <v>3.49</v>
      </c>
      <c r="N17" s="21">
        <v>903.91</v>
      </c>
      <c r="O17" s="21">
        <v>0</v>
      </c>
      <c r="P17" s="21">
        <v>3.49</v>
      </c>
      <c r="Q17" s="21">
        <v>903.91</v>
      </c>
    </row>
    <row r="18" spans="1:17" ht="38.4" x14ac:dyDescent="0.3">
      <c r="A18" s="21">
        <v>3</v>
      </c>
      <c r="B18" s="22" t="s">
        <v>239</v>
      </c>
      <c r="C18" s="22" t="s">
        <v>241</v>
      </c>
      <c r="D18" s="22" t="s">
        <v>236</v>
      </c>
      <c r="E18" s="22" t="s">
        <v>140</v>
      </c>
      <c r="F18" s="22" t="s">
        <v>140</v>
      </c>
      <c r="G18" s="22" t="s">
        <v>237</v>
      </c>
      <c r="H18" s="21">
        <v>345</v>
      </c>
      <c r="I18" s="22" t="s">
        <v>238</v>
      </c>
      <c r="J18" s="22" t="s">
        <v>360</v>
      </c>
      <c r="K18" s="22" t="s">
        <v>361</v>
      </c>
      <c r="L18" s="22"/>
      <c r="M18" s="21">
        <v>3.49</v>
      </c>
      <c r="N18" s="21">
        <v>1204.05</v>
      </c>
      <c r="O18" s="21">
        <v>0</v>
      </c>
      <c r="P18" s="21">
        <v>3.49</v>
      </c>
      <c r="Q18" s="21">
        <v>1204.05</v>
      </c>
    </row>
    <row r="19" spans="1:17" ht="38.4" x14ac:dyDescent="0.3">
      <c r="A19" s="21">
        <v>4</v>
      </c>
      <c r="B19" s="22" t="s">
        <v>239</v>
      </c>
      <c r="C19" s="22" t="s">
        <v>242</v>
      </c>
      <c r="D19" s="22" t="s">
        <v>236</v>
      </c>
      <c r="E19" s="22" t="s">
        <v>140</v>
      </c>
      <c r="F19" s="22" t="s">
        <v>140</v>
      </c>
      <c r="G19" s="22" t="s">
        <v>237</v>
      </c>
      <c r="H19" s="21">
        <v>414</v>
      </c>
      <c r="I19" s="22" t="s">
        <v>238</v>
      </c>
      <c r="J19" s="22" t="s">
        <v>360</v>
      </c>
      <c r="K19" s="22" t="s">
        <v>361</v>
      </c>
      <c r="L19" s="22"/>
      <c r="M19" s="21">
        <v>3.49</v>
      </c>
      <c r="N19" s="21">
        <v>1444.86</v>
      </c>
      <c r="O19" s="21">
        <v>0</v>
      </c>
      <c r="P19" s="21">
        <v>3.49</v>
      </c>
      <c r="Q19" s="21">
        <v>1444.86</v>
      </c>
    </row>
    <row r="20" spans="1:17" ht="38.4" x14ac:dyDescent="0.3">
      <c r="A20" s="21">
        <v>5</v>
      </c>
      <c r="B20" s="22" t="s">
        <v>239</v>
      </c>
      <c r="C20" s="22" t="s">
        <v>243</v>
      </c>
      <c r="D20" s="22" t="s">
        <v>236</v>
      </c>
      <c r="E20" s="22" t="s">
        <v>140</v>
      </c>
      <c r="F20" s="22" t="s">
        <v>140</v>
      </c>
      <c r="G20" s="22" t="s">
        <v>237</v>
      </c>
      <c r="H20" s="21">
        <v>209</v>
      </c>
      <c r="I20" s="22" t="s">
        <v>238</v>
      </c>
      <c r="J20" s="22" t="s">
        <v>360</v>
      </c>
      <c r="K20" s="22" t="s">
        <v>361</v>
      </c>
      <c r="L20" s="22"/>
      <c r="M20" s="21">
        <v>3.49</v>
      </c>
      <c r="N20" s="21">
        <v>729.41</v>
      </c>
      <c r="O20" s="21">
        <v>0</v>
      </c>
      <c r="P20" s="21">
        <v>3.49</v>
      </c>
      <c r="Q20" s="21">
        <v>729.41</v>
      </c>
    </row>
    <row r="21" spans="1:17" ht="38.4" x14ac:dyDescent="0.3">
      <c r="A21" s="21">
        <v>6</v>
      </c>
      <c r="B21" s="22" t="s">
        <v>239</v>
      </c>
      <c r="C21" s="22" t="s">
        <v>244</v>
      </c>
      <c r="D21" s="22" t="s">
        <v>236</v>
      </c>
      <c r="E21" s="22" t="s">
        <v>140</v>
      </c>
      <c r="F21" s="22" t="s">
        <v>140</v>
      </c>
      <c r="G21" s="22" t="s">
        <v>237</v>
      </c>
      <c r="H21" s="21">
        <v>242</v>
      </c>
      <c r="I21" s="22" t="s">
        <v>238</v>
      </c>
      <c r="J21" s="22" t="s">
        <v>360</v>
      </c>
      <c r="K21" s="22" t="s">
        <v>361</v>
      </c>
      <c r="L21" s="22"/>
      <c r="M21" s="21">
        <v>3.49</v>
      </c>
      <c r="N21" s="21">
        <v>844.58</v>
      </c>
      <c r="O21" s="21">
        <v>0</v>
      </c>
      <c r="P21" s="21">
        <v>3.49</v>
      </c>
      <c r="Q21" s="21">
        <v>844.58</v>
      </c>
    </row>
    <row r="22" spans="1:17" ht="38.4" x14ac:dyDescent="0.3">
      <c r="A22" s="21">
        <v>7</v>
      </c>
      <c r="B22" s="22" t="s">
        <v>245</v>
      </c>
      <c r="C22" s="22" t="s">
        <v>235</v>
      </c>
      <c r="D22" s="22" t="s">
        <v>246</v>
      </c>
      <c r="E22" s="22" t="s">
        <v>153</v>
      </c>
      <c r="F22" s="22" t="s">
        <v>153</v>
      </c>
      <c r="G22" s="22" t="s">
        <v>247</v>
      </c>
      <c r="H22" s="21">
        <v>435</v>
      </c>
      <c r="I22" s="22" t="s">
        <v>238</v>
      </c>
      <c r="J22" s="22" t="s">
        <v>360</v>
      </c>
      <c r="K22" s="22" t="s">
        <v>361</v>
      </c>
      <c r="L22" s="22"/>
      <c r="M22" s="21">
        <v>1.2</v>
      </c>
      <c r="N22" s="21">
        <v>522</v>
      </c>
      <c r="O22" s="21">
        <v>0</v>
      </c>
      <c r="P22" s="21">
        <v>1.2</v>
      </c>
      <c r="Q22" s="21">
        <v>522</v>
      </c>
    </row>
    <row r="23" spans="1:17" ht="38.4" x14ac:dyDescent="0.3">
      <c r="A23" s="21">
        <v>8</v>
      </c>
      <c r="B23" s="22" t="s">
        <v>248</v>
      </c>
      <c r="C23" s="22" t="s">
        <v>240</v>
      </c>
      <c r="D23" s="22" t="s">
        <v>246</v>
      </c>
      <c r="E23" s="22" t="s">
        <v>153</v>
      </c>
      <c r="F23" s="22" t="s">
        <v>153</v>
      </c>
      <c r="G23" s="22" t="s">
        <v>247</v>
      </c>
      <c r="H23" s="21">
        <v>609</v>
      </c>
      <c r="I23" s="22" t="s">
        <v>238</v>
      </c>
      <c r="J23" s="22" t="s">
        <v>360</v>
      </c>
      <c r="K23" s="22" t="s">
        <v>361</v>
      </c>
      <c r="L23" s="22"/>
      <c r="M23" s="21">
        <v>1.2</v>
      </c>
      <c r="N23" s="21">
        <v>730.8</v>
      </c>
      <c r="O23" s="21">
        <v>0</v>
      </c>
      <c r="P23" s="21">
        <v>1.2</v>
      </c>
      <c r="Q23" s="21">
        <v>730.8</v>
      </c>
    </row>
    <row r="24" spans="1:17" ht="38.4" x14ac:dyDescent="0.3">
      <c r="A24" s="21">
        <v>9</v>
      </c>
      <c r="B24" s="22" t="s">
        <v>248</v>
      </c>
      <c r="C24" s="22" t="s">
        <v>241</v>
      </c>
      <c r="D24" s="22" t="s">
        <v>246</v>
      </c>
      <c r="E24" s="22" t="s">
        <v>153</v>
      </c>
      <c r="F24" s="22" t="s">
        <v>153</v>
      </c>
      <c r="G24" s="22" t="s">
        <v>247</v>
      </c>
      <c r="H24" s="21">
        <v>1045</v>
      </c>
      <c r="I24" s="22" t="s">
        <v>238</v>
      </c>
      <c r="J24" s="22" t="s">
        <v>360</v>
      </c>
      <c r="K24" s="22" t="s">
        <v>361</v>
      </c>
      <c r="L24" s="22"/>
      <c r="M24" s="21">
        <v>1.2</v>
      </c>
      <c r="N24" s="21">
        <v>1254</v>
      </c>
      <c r="O24" s="21">
        <v>0</v>
      </c>
      <c r="P24" s="21">
        <v>1.2</v>
      </c>
      <c r="Q24" s="21">
        <v>1254</v>
      </c>
    </row>
    <row r="25" spans="1:17" ht="38.4" x14ac:dyDescent="0.3">
      <c r="A25" s="21">
        <v>10</v>
      </c>
      <c r="B25" s="22" t="s">
        <v>248</v>
      </c>
      <c r="C25" s="22" t="s">
        <v>242</v>
      </c>
      <c r="D25" s="22" t="s">
        <v>246</v>
      </c>
      <c r="E25" s="22" t="s">
        <v>153</v>
      </c>
      <c r="F25" s="22" t="s">
        <v>153</v>
      </c>
      <c r="G25" s="22" t="s">
        <v>247</v>
      </c>
      <c r="H25" s="21">
        <v>914</v>
      </c>
      <c r="I25" s="22" t="s">
        <v>238</v>
      </c>
      <c r="J25" s="22" t="s">
        <v>360</v>
      </c>
      <c r="K25" s="22" t="s">
        <v>361</v>
      </c>
      <c r="L25" s="22"/>
      <c r="M25" s="21">
        <v>1.2</v>
      </c>
      <c r="N25" s="21">
        <v>1096.8</v>
      </c>
      <c r="O25" s="21">
        <v>0</v>
      </c>
      <c r="P25" s="21">
        <v>1.2</v>
      </c>
      <c r="Q25" s="21">
        <v>1096.8</v>
      </c>
    </row>
    <row r="26" spans="1:17" ht="38.4" x14ac:dyDescent="0.3">
      <c r="A26" s="21">
        <v>11</v>
      </c>
      <c r="B26" s="22" t="s">
        <v>248</v>
      </c>
      <c r="C26" s="22" t="s">
        <v>243</v>
      </c>
      <c r="D26" s="22" t="s">
        <v>246</v>
      </c>
      <c r="E26" s="22" t="s">
        <v>153</v>
      </c>
      <c r="F26" s="22" t="s">
        <v>153</v>
      </c>
      <c r="G26" s="22" t="s">
        <v>247</v>
      </c>
      <c r="H26" s="21">
        <v>784</v>
      </c>
      <c r="I26" s="22" t="s">
        <v>238</v>
      </c>
      <c r="J26" s="22" t="s">
        <v>360</v>
      </c>
      <c r="K26" s="22" t="s">
        <v>361</v>
      </c>
      <c r="L26" s="22"/>
      <c r="M26" s="21">
        <v>1.2</v>
      </c>
      <c r="N26" s="21">
        <v>940.8</v>
      </c>
      <c r="O26" s="21">
        <v>0</v>
      </c>
      <c r="P26" s="21">
        <v>1.2</v>
      </c>
      <c r="Q26" s="21">
        <v>940.8</v>
      </c>
    </row>
    <row r="27" spans="1:17" ht="38.4" x14ac:dyDescent="0.3">
      <c r="A27" s="21">
        <v>12</v>
      </c>
      <c r="B27" s="22" t="s">
        <v>248</v>
      </c>
      <c r="C27" s="22" t="s">
        <v>244</v>
      </c>
      <c r="D27" s="22" t="s">
        <v>246</v>
      </c>
      <c r="E27" s="22" t="s">
        <v>153</v>
      </c>
      <c r="F27" s="22" t="s">
        <v>153</v>
      </c>
      <c r="G27" s="22" t="s">
        <v>247</v>
      </c>
      <c r="H27" s="21">
        <v>566</v>
      </c>
      <c r="I27" s="22" t="s">
        <v>238</v>
      </c>
      <c r="J27" s="22" t="s">
        <v>360</v>
      </c>
      <c r="K27" s="22" t="s">
        <v>361</v>
      </c>
      <c r="L27" s="22"/>
      <c r="M27" s="21">
        <v>1.2</v>
      </c>
      <c r="N27" s="21">
        <v>679.2</v>
      </c>
      <c r="O27" s="21">
        <v>0</v>
      </c>
      <c r="P27" s="21">
        <v>1.2</v>
      </c>
      <c r="Q27" s="21">
        <v>679.2</v>
      </c>
    </row>
    <row r="28" spans="1:17" x14ac:dyDescent="0.3">
      <c r="A28" s="135" t="s">
        <v>249</v>
      </c>
      <c r="B28" s="132"/>
      <c r="C28" s="132"/>
      <c r="D28" s="11" t="s">
        <v>1</v>
      </c>
      <c r="E28" s="11" t="s">
        <v>1</v>
      </c>
      <c r="F28" s="11" t="s">
        <v>1</v>
      </c>
      <c r="G28" s="11" t="s">
        <v>1</v>
      </c>
      <c r="H28" s="41">
        <v>6043</v>
      </c>
      <c r="I28" s="11" t="s">
        <v>1</v>
      </c>
      <c r="J28" s="11" t="s">
        <v>1</v>
      </c>
      <c r="K28" s="11" t="s">
        <v>1</v>
      </c>
      <c r="L28" s="11" t="s">
        <v>1</v>
      </c>
      <c r="M28" s="11" t="s">
        <v>1</v>
      </c>
      <c r="N28" s="41">
        <v>11121.7</v>
      </c>
      <c r="O28" s="11" t="s">
        <v>1</v>
      </c>
      <c r="P28" s="42" t="s">
        <v>250</v>
      </c>
      <c r="Q28" s="41">
        <v>11121.7</v>
      </c>
    </row>
    <row r="29" spans="1:17" ht="14.1" customHeight="1" x14ac:dyDescent="0.3">
      <c r="A29" s="138" t="s">
        <v>251</v>
      </c>
      <c r="B29" s="139"/>
      <c r="C29" s="139"/>
      <c r="D29" s="139"/>
      <c r="E29" s="139"/>
      <c r="F29" s="139"/>
      <c r="G29" s="139"/>
      <c r="H29" s="139"/>
      <c r="I29" s="139"/>
      <c r="J29" s="139"/>
      <c r="K29" s="139"/>
      <c r="L29" s="139"/>
      <c r="M29" s="139"/>
      <c r="N29" s="139"/>
      <c r="O29" s="139"/>
      <c r="P29" s="139"/>
      <c r="Q29" s="140"/>
    </row>
    <row r="30" spans="1:17" x14ac:dyDescent="0.3">
      <c r="A30" s="11" t="s">
        <v>1</v>
      </c>
      <c r="B30" s="11" t="s">
        <v>1</v>
      </c>
      <c r="C30" s="11" t="s">
        <v>1</v>
      </c>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row>
    <row r="31" spans="1:17" x14ac:dyDescent="0.3">
      <c r="A31" s="131" t="s">
        <v>206</v>
      </c>
      <c r="B31" s="132"/>
      <c r="C31" s="131" t="s">
        <v>101</v>
      </c>
      <c r="D31" s="132"/>
      <c r="E31" s="132"/>
      <c r="F31" s="10" t="s">
        <v>157</v>
      </c>
      <c r="G31" s="152">
        <v>46100</v>
      </c>
      <c r="H31" s="132"/>
      <c r="I31" s="131" t="s">
        <v>252</v>
      </c>
      <c r="J31" s="132"/>
      <c r="K31" s="131" t="s">
        <v>6</v>
      </c>
      <c r="L31" s="132"/>
      <c r="M31" s="132"/>
      <c r="N31" s="132"/>
      <c r="O31" s="10" t="s">
        <v>207</v>
      </c>
      <c r="P31" s="152">
        <v>41990</v>
      </c>
      <c r="Q31" s="132"/>
    </row>
    <row r="32" spans="1:17" x14ac:dyDescent="0.3">
      <c r="A32" s="131" t="s">
        <v>253</v>
      </c>
      <c r="B32" s="132"/>
      <c r="C32" s="131" t="s">
        <v>50</v>
      </c>
      <c r="D32" s="132"/>
      <c r="E32" s="132"/>
      <c r="F32" s="132"/>
      <c r="G32" s="132"/>
      <c r="H32" s="10" t="s">
        <v>1</v>
      </c>
      <c r="I32" s="10" t="s">
        <v>1</v>
      </c>
      <c r="J32" s="10" t="s">
        <v>1</v>
      </c>
      <c r="K32" s="10" t="s">
        <v>1</v>
      </c>
      <c r="L32" s="10" t="s">
        <v>1</v>
      </c>
      <c r="M32" s="10" t="s">
        <v>1</v>
      </c>
      <c r="N32" s="10" t="s">
        <v>1</v>
      </c>
      <c r="O32" s="10" t="s">
        <v>1</v>
      </c>
      <c r="P32" s="10" t="s">
        <v>1</v>
      </c>
      <c r="Q32" s="10" t="s">
        <v>1</v>
      </c>
    </row>
    <row r="33" spans="1:17" ht="14.1" customHeight="1" x14ac:dyDescent="0.3">
      <c r="A33" s="131" t="s">
        <v>254</v>
      </c>
      <c r="B33" s="132"/>
      <c r="C33" s="131" t="s">
        <v>10</v>
      </c>
      <c r="D33" s="132"/>
      <c r="E33" s="132"/>
      <c r="F33" s="132"/>
      <c r="G33" s="132"/>
      <c r="H33" s="131" t="s">
        <v>255</v>
      </c>
      <c r="I33" s="132"/>
      <c r="J33" s="131" t="s">
        <v>13</v>
      </c>
      <c r="K33" s="132"/>
      <c r="L33" s="132"/>
      <c r="M33" s="132"/>
      <c r="N33" s="132"/>
      <c r="O33" s="132"/>
      <c r="P33" s="132"/>
      <c r="Q33" s="132"/>
    </row>
    <row r="34" spans="1:17" x14ac:dyDescent="0.3">
      <c r="A34" s="10" t="s">
        <v>1</v>
      </c>
      <c r="B34" s="10" t="s">
        <v>1</v>
      </c>
      <c r="C34" s="10" t="s">
        <v>1</v>
      </c>
      <c r="D34" s="10" t="s">
        <v>1</v>
      </c>
      <c r="E34" s="10" t="s">
        <v>1</v>
      </c>
      <c r="F34" s="10" t="s">
        <v>1</v>
      </c>
      <c r="G34" s="10" t="s">
        <v>1</v>
      </c>
      <c r="H34" s="10" t="s">
        <v>1</v>
      </c>
      <c r="I34" s="10" t="s">
        <v>1</v>
      </c>
      <c r="J34" s="10" t="s">
        <v>1</v>
      </c>
      <c r="K34" s="10" t="s">
        <v>1</v>
      </c>
      <c r="L34" s="10" t="s">
        <v>1</v>
      </c>
      <c r="M34" s="10" t="s">
        <v>1</v>
      </c>
      <c r="N34" s="10" t="s">
        <v>1</v>
      </c>
      <c r="O34" s="10" t="s">
        <v>1</v>
      </c>
      <c r="P34" s="10" t="s">
        <v>1</v>
      </c>
      <c r="Q34" s="10" t="s">
        <v>1</v>
      </c>
    </row>
    <row r="35" spans="1:17" x14ac:dyDescent="0.3">
      <c r="A35" s="135" t="s">
        <v>256</v>
      </c>
      <c r="B35" s="132"/>
      <c r="C35" s="132"/>
      <c r="D35" s="10" t="s">
        <v>1</v>
      </c>
      <c r="E35" s="10" t="s">
        <v>1</v>
      </c>
      <c r="F35" s="10" t="s">
        <v>1</v>
      </c>
      <c r="G35" s="10" t="s">
        <v>1</v>
      </c>
      <c r="H35" s="10" t="s">
        <v>1</v>
      </c>
      <c r="I35" s="10" t="s">
        <v>1</v>
      </c>
      <c r="J35" s="10" t="s">
        <v>1</v>
      </c>
      <c r="K35" s="10" t="s">
        <v>1</v>
      </c>
      <c r="L35" s="10" t="s">
        <v>1</v>
      </c>
      <c r="M35" s="10" t="s">
        <v>1</v>
      </c>
      <c r="N35" s="10" t="s">
        <v>1</v>
      </c>
      <c r="O35" s="10" t="s">
        <v>1</v>
      </c>
      <c r="P35" s="10" t="s">
        <v>1</v>
      </c>
      <c r="Q35" s="10" t="s">
        <v>1</v>
      </c>
    </row>
    <row r="36" spans="1:17" x14ac:dyDescent="0.3">
      <c r="A36" s="10" t="s">
        <v>1</v>
      </c>
      <c r="B36" s="11" t="s">
        <v>208</v>
      </c>
      <c r="C36" s="10" t="s">
        <v>1</v>
      </c>
      <c r="D36" s="10" t="s">
        <v>1</v>
      </c>
      <c r="E36" s="10" t="s">
        <v>1</v>
      </c>
      <c r="F36" s="10" t="s">
        <v>1</v>
      </c>
      <c r="G36" s="10" t="s">
        <v>1</v>
      </c>
      <c r="H36" s="10" t="s">
        <v>1</v>
      </c>
      <c r="I36" s="10" t="s">
        <v>1</v>
      </c>
      <c r="J36" s="10" t="s">
        <v>1</v>
      </c>
      <c r="K36" s="11" t="s">
        <v>1</v>
      </c>
      <c r="L36" s="11" t="s">
        <v>1</v>
      </c>
      <c r="M36" s="10" t="s">
        <v>1</v>
      </c>
      <c r="N36" s="10" t="s">
        <v>1</v>
      </c>
      <c r="O36" s="10" t="s">
        <v>1</v>
      </c>
      <c r="P36" s="10" t="s">
        <v>1</v>
      </c>
      <c r="Q36" s="10" t="s">
        <v>1</v>
      </c>
    </row>
    <row r="37" spans="1:17" x14ac:dyDescent="0.3">
      <c r="A37" s="131" t="s">
        <v>257</v>
      </c>
      <c r="B37" s="132"/>
      <c r="C37" s="131" t="s">
        <v>36</v>
      </c>
      <c r="D37" s="132"/>
      <c r="E37" s="132"/>
      <c r="F37" s="132"/>
      <c r="G37" s="132"/>
      <c r="H37" s="132"/>
      <c r="I37" s="10" t="s">
        <v>1</v>
      </c>
      <c r="J37" s="10" t="s">
        <v>1</v>
      </c>
      <c r="K37" s="131" t="s">
        <v>1</v>
      </c>
      <c r="L37" s="132"/>
      <c r="M37" s="132"/>
      <c r="N37" s="132"/>
      <c r="O37" s="132"/>
      <c r="P37" s="132"/>
      <c r="Q37" s="132"/>
    </row>
    <row r="38" spans="1:17" x14ac:dyDescent="0.3">
      <c r="A38" s="131" t="s">
        <v>258</v>
      </c>
      <c r="B38" s="132"/>
      <c r="C38" s="131" t="s">
        <v>42</v>
      </c>
      <c r="D38" s="132"/>
      <c r="E38" s="132"/>
      <c r="F38" s="132"/>
      <c r="G38" s="132"/>
      <c r="H38" s="132"/>
      <c r="I38" s="10" t="s">
        <v>1</v>
      </c>
      <c r="J38" s="10" t="s">
        <v>1</v>
      </c>
      <c r="K38" s="131" t="s">
        <v>1</v>
      </c>
      <c r="L38" s="132"/>
      <c r="M38" s="132"/>
      <c r="N38" s="132"/>
      <c r="O38" s="132"/>
      <c r="P38" s="132"/>
      <c r="Q38" s="132"/>
    </row>
    <row r="39" spans="1:17" x14ac:dyDescent="0.3">
      <c r="A39" s="131" t="s">
        <v>259</v>
      </c>
      <c r="B39" s="132"/>
      <c r="C39" s="131"/>
      <c r="D39" s="132"/>
      <c r="E39" s="132"/>
      <c r="F39" s="132"/>
      <c r="G39" s="132"/>
      <c r="H39" s="132"/>
      <c r="I39" s="10" t="s">
        <v>1</v>
      </c>
      <c r="J39" s="10" t="s">
        <v>1</v>
      </c>
      <c r="K39" s="131" t="s">
        <v>1</v>
      </c>
      <c r="L39" s="132"/>
      <c r="M39" s="132"/>
      <c r="N39" s="132"/>
      <c r="O39" s="132"/>
      <c r="P39" s="132"/>
      <c r="Q39" s="132"/>
    </row>
    <row r="40" spans="1:17" x14ac:dyDescent="0.3">
      <c r="A40" s="131" t="s">
        <v>260</v>
      </c>
      <c r="B40" s="132"/>
      <c r="C40" s="131" t="s">
        <v>38</v>
      </c>
      <c r="D40" s="132"/>
      <c r="E40" s="132"/>
      <c r="F40" s="132"/>
      <c r="G40" s="132"/>
      <c r="H40" s="132"/>
      <c r="I40" s="10" t="s">
        <v>1</v>
      </c>
      <c r="J40" s="10" t="s">
        <v>1</v>
      </c>
      <c r="K40" s="131" t="s">
        <v>1</v>
      </c>
      <c r="L40" s="132"/>
      <c r="M40" s="132"/>
      <c r="N40" s="132"/>
      <c r="O40" s="132"/>
      <c r="P40" s="132"/>
      <c r="Q40" s="132"/>
    </row>
    <row r="41" spans="1:17" x14ac:dyDescent="0.3">
      <c r="A41" s="10" t="s">
        <v>1</v>
      </c>
      <c r="B41" s="10" t="s">
        <v>1</v>
      </c>
      <c r="C41" s="10" t="s">
        <v>1</v>
      </c>
      <c r="D41" s="10" t="s">
        <v>1</v>
      </c>
      <c r="E41" s="10" t="s">
        <v>1</v>
      </c>
      <c r="F41" s="10" t="s">
        <v>1</v>
      </c>
      <c r="G41" s="10" t="s">
        <v>1</v>
      </c>
      <c r="H41" s="10" t="s">
        <v>1</v>
      </c>
      <c r="I41" s="10" t="s">
        <v>1</v>
      </c>
      <c r="J41" s="10" t="s">
        <v>1</v>
      </c>
      <c r="K41" s="131" t="s">
        <v>1</v>
      </c>
      <c r="L41" s="132"/>
      <c r="M41" s="132"/>
      <c r="N41" s="132"/>
      <c r="O41" s="132"/>
      <c r="P41" s="132"/>
      <c r="Q41" s="132"/>
    </row>
    <row r="42" spans="1:17" x14ac:dyDescent="0.3">
      <c r="A42" s="131" t="s">
        <v>262</v>
      </c>
      <c r="B42" s="132"/>
      <c r="C42" s="131" t="s">
        <v>20</v>
      </c>
      <c r="D42" s="132"/>
      <c r="E42" s="132"/>
      <c r="F42" s="132"/>
      <c r="G42" s="132"/>
      <c r="H42" s="132"/>
      <c r="I42" s="10" t="s">
        <v>1</v>
      </c>
      <c r="J42" s="10" t="s">
        <v>1</v>
      </c>
      <c r="K42" s="131" t="s">
        <v>1</v>
      </c>
      <c r="L42" s="132"/>
      <c r="M42" s="132"/>
      <c r="N42" s="132"/>
      <c r="O42" s="132"/>
      <c r="P42" s="132"/>
      <c r="Q42" s="132"/>
    </row>
    <row r="43" spans="1:17" x14ac:dyDescent="0.3">
      <c r="A43" s="131" t="s">
        <v>263</v>
      </c>
      <c r="B43" s="132"/>
      <c r="C43" s="131" t="s">
        <v>44</v>
      </c>
      <c r="D43" s="132"/>
      <c r="E43" s="132"/>
      <c r="F43" s="132"/>
      <c r="G43" s="132"/>
      <c r="H43" s="132"/>
      <c r="I43" s="10" t="s">
        <v>1</v>
      </c>
      <c r="J43" s="10" t="s">
        <v>1</v>
      </c>
      <c r="K43" s="131" t="s">
        <v>1</v>
      </c>
      <c r="L43" s="132"/>
      <c r="M43" s="132"/>
      <c r="N43" s="132"/>
      <c r="O43" s="132"/>
      <c r="P43" s="132"/>
      <c r="Q43" s="132"/>
    </row>
    <row r="44" spans="1:17" x14ac:dyDescent="0.3">
      <c r="A44" s="10" t="s">
        <v>1</v>
      </c>
      <c r="B44" s="10" t="s">
        <v>1</v>
      </c>
      <c r="C44" s="10" t="s">
        <v>1</v>
      </c>
      <c r="D44" s="10" t="s">
        <v>1</v>
      </c>
      <c r="E44" s="10" t="s">
        <v>1</v>
      </c>
      <c r="F44" s="10" t="s">
        <v>1</v>
      </c>
      <c r="G44" s="10" t="s">
        <v>1</v>
      </c>
      <c r="H44" s="10" t="s">
        <v>1</v>
      </c>
      <c r="I44" s="10" t="s">
        <v>1</v>
      </c>
      <c r="J44" s="170" t="s">
        <v>1</v>
      </c>
      <c r="K44" s="165"/>
      <c r="L44" s="165"/>
      <c r="M44" s="165"/>
      <c r="N44" s="165"/>
      <c r="O44" s="165"/>
      <c r="P44" s="165"/>
      <c r="Q44" s="165"/>
    </row>
    <row r="45" spans="1:17" x14ac:dyDescent="0.3">
      <c r="A45" s="131" t="s">
        <v>266</v>
      </c>
      <c r="B45" s="132"/>
      <c r="C45" s="131" t="s">
        <v>25</v>
      </c>
      <c r="D45" s="132"/>
      <c r="E45" s="132"/>
      <c r="F45" s="132"/>
      <c r="G45" s="132"/>
      <c r="H45" s="132"/>
      <c r="I45" s="10" t="s">
        <v>1</v>
      </c>
      <c r="J45" s="10" t="s">
        <v>208</v>
      </c>
      <c r="K45" s="131" t="s">
        <v>1</v>
      </c>
      <c r="L45" s="132"/>
      <c r="M45" s="132"/>
      <c r="N45" s="132"/>
      <c r="O45" s="132"/>
      <c r="P45" s="132"/>
      <c r="Q45" s="132"/>
    </row>
    <row r="46" spans="1:17" x14ac:dyDescent="0.3">
      <c r="A46" s="131" t="s">
        <v>267</v>
      </c>
      <c r="B46" s="132"/>
      <c r="C46" s="131" t="s">
        <v>23</v>
      </c>
      <c r="D46" s="132"/>
      <c r="E46" s="132"/>
      <c r="F46" s="132"/>
      <c r="G46" s="132"/>
      <c r="H46" s="132"/>
      <c r="I46" s="10" t="s">
        <v>1</v>
      </c>
      <c r="J46" s="10" t="s">
        <v>1</v>
      </c>
      <c r="K46" s="131" t="s">
        <v>1</v>
      </c>
      <c r="L46" s="132"/>
      <c r="M46" s="132"/>
      <c r="N46" s="132"/>
      <c r="O46" s="132"/>
      <c r="P46" s="132"/>
      <c r="Q46" s="132"/>
    </row>
    <row r="47" spans="1:17" x14ac:dyDescent="0.3">
      <c r="A47" s="10" t="s">
        <v>1</v>
      </c>
      <c r="B47" s="10" t="s">
        <v>1</v>
      </c>
      <c r="C47" s="10" t="s">
        <v>1</v>
      </c>
      <c r="D47" s="10" t="s">
        <v>1</v>
      </c>
      <c r="E47" s="10" t="s">
        <v>1</v>
      </c>
      <c r="F47" s="10" t="s">
        <v>1</v>
      </c>
      <c r="G47" s="10" t="s">
        <v>1</v>
      </c>
      <c r="H47" s="10" t="s">
        <v>1</v>
      </c>
      <c r="I47" s="10" t="s">
        <v>1</v>
      </c>
      <c r="J47" s="10" t="s">
        <v>1</v>
      </c>
      <c r="K47" s="10" t="s">
        <v>1</v>
      </c>
      <c r="L47" s="10" t="s">
        <v>1</v>
      </c>
      <c r="M47" s="10" t="s">
        <v>1</v>
      </c>
      <c r="N47" s="10" t="s">
        <v>1</v>
      </c>
      <c r="O47" s="10" t="s">
        <v>1</v>
      </c>
      <c r="P47" s="10" t="s">
        <v>1</v>
      </c>
      <c r="Q47" s="10" t="s">
        <v>1</v>
      </c>
    </row>
    <row r="48" spans="1:17" x14ac:dyDescent="0.3">
      <c r="A48" s="131" t="s">
        <v>268</v>
      </c>
      <c r="B48" s="132"/>
      <c r="C48" s="132"/>
      <c r="D48" s="132"/>
      <c r="E48" s="132"/>
      <c r="F48" s="132"/>
      <c r="G48" s="132"/>
      <c r="H48" s="132"/>
      <c r="I48" s="10" t="s">
        <v>1</v>
      </c>
      <c r="J48" s="10" t="s">
        <v>1</v>
      </c>
      <c r="K48" s="10" t="s">
        <v>1</v>
      </c>
      <c r="L48" s="10" t="s">
        <v>1</v>
      </c>
      <c r="M48" s="10" t="s">
        <v>1</v>
      </c>
      <c r="N48" s="10" t="s">
        <v>1</v>
      </c>
      <c r="O48" s="10" t="s">
        <v>1</v>
      </c>
      <c r="P48" s="10" t="s">
        <v>1</v>
      </c>
      <c r="Q48" s="10" t="s">
        <v>1</v>
      </c>
    </row>
    <row r="49" ht="0" hidden="1" customHeight="1" x14ac:dyDescent="0.3"/>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8:C28"/>
    <mergeCell ref="A29:Q29"/>
    <mergeCell ref="A31:B31"/>
    <mergeCell ref="C31:E31"/>
    <mergeCell ref="G31:H31"/>
    <mergeCell ref="I31:J31"/>
    <mergeCell ref="K31:N31"/>
    <mergeCell ref="P31:Q31"/>
    <mergeCell ref="A32:B32"/>
    <mergeCell ref="C32:G32"/>
    <mergeCell ref="A33:B33"/>
    <mergeCell ref="C33:G33"/>
    <mergeCell ref="H33:I33"/>
    <mergeCell ref="J33:Q33"/>
    <mergeCell ref="A35:C35"/>
    <mergeCell ref="A37:B37"/>
    <mergeCell ref="C37:H37"/>
    <mergeCell ref="K37:Q37"/>
    <mergeCell ref="A38:B38"/>
    <mergeCell ref="C38:H38"/>
    <mergeCell ref="K38:Q38"/>
    <mergeCell ref="A39:B39"/>
    <mergeCell ref="C39:H39"/>
    <mergeCell ref="K39:Q39"/>
    <mergeCell ref="A40:B40"/>
    <mergeCell ref="C40:H40"/>
    <mergeCell ref="K40:Q40"/>
    <mergeCell ref="K41:Q41"/>
    <mergeCell ref="A42:B42"/>
    <mergeCell ref="C42:H42"/>
    <mergeCell ref="K42:Q42"/>
    <mergeCell ref="A46:B46"/>
    <mergeCell ref="C46:H46"/>
    <mergeCell ref="K46:Q46"/>
    <mergeCell ref="A48:H48"/>
    <mergeCell ref="A43:B43"/>
    <mergeCell ref="C43:H43"/>
    <mergeCell ref="K43:Q43"/>
    <mergeCell ref="J44:Q44"/>
    <mergeCell ref="A45:B45"/>
    <mergeCell ref="C45:H45"/>
    <mergeCell ref="K45:Q4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5"/>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71" t="s">
        <v>20</v>
      </c>
      <c r="B1" s="132"/>
      <c r="C1" s="132"/>
      <c r="D1" s="132"/>
      <c r="E1" s="132"/>
      <c r="F1" s="132"/>
      <c r="G1" s="132"/>
      <c r="H1" s="132"/>
      <c r="I1" s="132"/>
      <c r="J1" s="132"/>
      <c r="K1" s="132"/>
      <c r="L1" s="132"/>
    </row>
    <row r="2" spans="1:12" ht="13.35" customHeight="1" x14ac:dyDescent="0.3">
      <c r="A2" s="150" t="s">
        <v>23</v>
      </c>
      <c r="B2" s="132"/>
      <c r="C2" s="132"/>
      <c r="D2" s="132"/>
      <c r="E2" s="132"/>
      <c r="F2" s="132"/>
      <c r="G2" s="132"/>
      <c r="H2" s="132"/>
      <c r="I2" s="132"/>
      <c r="J2" s="132"/>
      <c r="K2" s="132"/>
      <c r="L2" s="132"/>
    </row>
    <row r="3" spans="1:12" ht="16.2" customHeight="1" x14ac:dyDescent="0.3">
      <c r="A3" s="150" t="s">
        <v>25</v>
      </c>
      <c r="B3" s="132"/>
      <c r="C3" s="132"/>
      <c r="D3" s="132"/>
      <c r="E3" s="132"/>
      <c r="F3" s="132"/>
      <c r="G3" s="132"/>
      <c r="H3" s="132"/>
      <c r="I3" s="132"/>
      <c r="J3" s="132"/>
      <c r="K3" s="132"/>
      <c r="L3" s="132"/>
    </row>
    <row r="4" spans="1:12" ht="22.95" customHeight="1" x14ac:dyDescent="0.3">
      <c r="A4" s="172" t="s">
        <v>274</v>
      </c>
      <c r="B4" s="132"/>
      <c r="C4" s="132"/>
      <c r="D4" s="132"/>
      <c r="E4" s="132"/>
      <c r="F4" s="132"/>
      <c r="G4" s="132"/>
      <c r="H4" s="132"/>
      <c r="I4" s="132"/>
      <c r="J4" s="132"/>
      <c r="K4" s="132"/>
      <c r="L4" s="132"/>
    </row>
    <row r="5" spans="1:12" x14ac:dyDescent="0.3">
      <c r="A5" s="162" t="s">
        <v>275</v>
      </c>
      <c r="B5" s="132"/>
      <c r="C5" s="167" t="s">
        <v>108</v>
      </c>
      <c r="D5" s="132"/>
      <c r="E5" s="132"/>
      <c r="F5" s="132"/>
      <c r="G5" s="4" t="s">
        <v>1</v>
      </c>
      <c r="H5" s="4" t="s">
        <v>1</v>
      </c>
      <c r="I5" s="4" t="s">
        <v>207</v>
      </c>
      <c r="J5" s="34">
        <v>46101</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62" t="s">
        <v>208</v>
      </c>
      <c r="B7" s="132"/>
      <c r="C7" s="167" t="s">
        <v>20</v>
      </c>
      <c r="D7" s="132"/>
      <c r="E7" s="132"/>
      <c r="F7" s="132"/>
      <c r="G7" s="3" t="s">
        <v>1</v>
      </c>
      <c r="H7" s="4" t="s">
        <v>209</v>
      </c>
      <c r="I7" s="167" t="s">
        <v>54</v>
      </c>
      <c r="J7" s="132"/>
      <c r="K7" s="132"/>
      <c r="L7" s="132"/>
    </row>
    <row r="8" spans="1:12" ht="33" customHeight="1" x14ac:dyDescent="0.3">
      <c r="A8" s="4" t="s">
        <v>1</v>
      </c>
      <c r="B8" s="4" t="s">
        <v>1</v>
      </c>
      <c r="C8" s="162" t="s">
        <v>23</v>
      </c>
      <c r="D8" s="132"/>
      <c r="E8" s="132"/>
      <c r="F8" s="132"/>
      <c r="G8" s="4" t="s">
        <v>1</v>
      </c>
      <c r="H8" s="4" t="s">
        <v>1</v>
      </c>
      <c r="I8" s="162" t="s">
        <v>57</v>
      </c>
      <c r="J8" s="132"/>
      <c r="K8" s="132"/>
      <c r="L8" s="132"/>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62" t="s">
        <v>210</v>
      </c>
      <c r="B10" s="132"/>
      <c r="C10" s="167" t="s">
        <v>30</v>
      </c>
      <c r="D10" s="132"/>
      <c r="E10" s="132"/>
      <c r="F10" s="132"/>
      <c r="G10" s="3" t="s">
        <v>1</v>
      </c>
      <c r="H10" s="4" t="s">
        <v>211</v>
      </c>
      <c r="I10" s="167" t="s">
        <v>212</v>
      </c>
      <c r="J10" s="132"/>
      <c r="K10" s="132"/>
      <c r="L10" s="132"/>
    </row>
    <row r="11" spans="1:12" ht="40.950000000000003" customHeight="1" x14ac:dyDescent="0.3">
      <c r="A11" s="4" t="s">
        <v>1</v>
      </c>
      <c r="B11" s="4" t="s">
        <v>1</v>
      </c>
      <c r="C11" s="162" t="s">
        <v>33</v>
      </c>
      <c r="D11" s="132"/>
      <c r="E11" s="132"/>
      <c r="F11" s="132"/>
      <c r="G11" s="4" t="s">
        <v>1</v>
      </c>
      <c r="H11" s="4" t="s">
        <v>1</v>
      </c>
      <c r="I11" s="162" t="s">
        <v>213</v>
      </c>
      <c r="J11" s="132"/>
      <c r="K11" s="132"/>
      <c r="L11" s="132"/>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215</v>
      </c>
      <c r="B13" s="168" t="s">
        <v>216</v>
      </c>
      <c r="C13" s="140"/>
      <c r="D13" s="35" t="s">
        <v>219</v>
      </c>
      <c r="E13" s="35" t="s">
        <v>220</v>
      </c>
      <c r="F13" s="35" t="s">
        <v>222</v>
      </c>
      <c r="G13" s="35" t="s">
        <v>276</v>
      </c>
      <c r="H13" s="35" t="s">
        <v>277</v>
      </c>
      <c r="I13" s="35" t="s">
        <v>278</v>
      </c>
      <c r="J13" s="35" t="s">
        <v>279</v>
      </c>
      <c r="K13" s="35" t="s">
        <v>280</v>
      </c>
      <c r="L13" s="35" t="s">
        <v>281</v>
      </c>
    </row>
    <row r="14" spans="1:12" ht="20.399999999999999" x14ac:dyDescent="0.3">
      <c r="A14" s="36">
        <v>1</v>
      </c>
      <c r="B14" s="163" t="s">
        <v>234</v>
      </c>
      <c r="C14" s="140"/>
      <c r="D14" s="37" t="s">
        <v>140</v>
      </c>
      <c r="E14" s="37" t="s">
        <v>140</v>
      </c>
      <c r="F14" s="37" t="s">
        <v>237</v>
      </c>
      <c r="G14" s="36">
        <v>221</v>
      </c>
      <c r="H14" s="37" t="s">
        <v>238</v>
      </c>
      <c r="I14" s="36">
        <v>3</v>
      </c>
      <c r="J14" s="37" t="s">
        <v>282</v>
      </c>
      <c r="K14" s="36">
        <v>51.93</v>
      </c>
      <c r="L14" s="36">
        <v>57.73</v>
      </c>
    </row>
    <row r="15" spans="1:12" ht="20.399999999999999" x14ac:dyDescent="0.3">
      <c r="A15" s="36">
        <v>2</v>
      </c>
      <c r="B15" s="163" t="s">
        <v>239</v>
      </c>
      <c r="C15" s="140"/>
      <c r="D15" s="37" t="s">
        <v>140</v>
      </c>
      <c r="E15" s="37" t="s">
        <v>140</v>
      </c>
      <c r="F15" s="37" t="s">
        <v>237</v>
      </c>
      <c r="G15" s="36">
        <v>259</v>
      </c>
      <c r="H15" s="37" t="s">
        <v>238</v>
      </c>
      <c r="I15" s="36">
        <v>4</v>
      </c>
      <c r="J15" s="37" t="s">
        <v>282</v>
      </c>
      <c r="K15" s="36">
        <v>62.68</v>
      </c>
      <c r="L15" s="36">
        <v>70.41</v>
      </c>
    </row>
    <row r="16" spans="1:12" ht="20.399999999999999" x14ac:dyDescent="0.3">
      <c r="A16" s="36">
        <v>3</v>
      </c>
      <c r="B16" s="163" t="s">
        <v>239</v>
      </c>
      <c r="C16" s="140"/>
      <c r="D16" s="37" t="s">
        <v>140</v>
      </c>
      <c r="E16" s="37" t="s">
        <v>140</v>
      </c>
      <c r="F16" s="37" t="s">
        <v>237</v>
      </c>
      <c r="G16" s="36">
        <v>345</v>
      </c>
      <c r="H16" s="37" t="s">
        <v>238</v>
      </c>
      <c r="I16" s="36">
        <v>5</v>
      </c>
      <c r="J16" s="37" t="s">
        <v>282</v>
      </c>
      <c r="K16" s="36">
        <v>85.56</v>
      </c>
      <c r="L16" s="36">
        <v>95.22</v>
      </c>
    </row>
    <row r="17" spans="1:12" ht="20.399999999999999" x14ac:dyDescent="0.3">
      <c r="A17" s="36">
        <v>4</v>
      </c>
      <c r="B17" s="163" t="s">
        <v>239</v>
      </c>
      <c r="C17" s="140"/>
      <c r="D17" s="37" t="s">
        <v>140</v>
      </c>
      <c r="E17" s="37" t="s">
        <v>140</v>
      </c>
      <c r="F17" s="37" t="s">
        <v>237</v>
      </c>
      <c r="G17" s="36">
        <v>414</v>
      </c>
      <c r="H17" s="37" t="s">
        <v>238</v>
      </c>
      <c r="I17" s="36">
        <v>6</v>
      </c>
      <c r="J17" s="37" t="s">
        <v>282</v>
      </c>
      <c r="K17" s="36">
        <v>109.71</v>
      </c>
      <c r="L17" s="36">
        <v>121.3</v>
      </c>
    </row>
    <row r="18" spans="1:12" ht="20.399999999999999" x14ac:dyDescent="0.3">
      <c r="A18" s="36">
        <v>5</v>
      </c>
      <c r="B18" s="163" t="s">
        <v>239</v>
      </c>
      <c r="C18" s="140"/>
      <c r="D18" s="37" t="s">
        <v>140</v>
      </c>
      <c r="E18" s="37" t="s">
        <v>140</v>
      </c>
      <c r="F18" s="37" t="s">
        <v>237</v>
      </c>
      <c r="G18" s="36">
        <v>209</v>
      </c>
      <c r="H18" s="37" t="s">
        <v>238</v>
      </c>
      <c r="I18" s="36">
        <v>3</v>
      </c>
      <c r="J18" s="37" t="s">
        <v>282</v>
      </c>
      <c r="K18" s="36">
        <v>59.98</v>
      </c>
      <c r="L18" s="36">
        <v>65.78</v>
      </c>
    </row>
    <row r="19" spans="1:12" ht="20.399999999999999" x14ac:dyDescent="0.3">
      <c r="A19" s="36">
        <v>6</v>
      </c>
      <c r="B19" s="163" t="s">
        <v>239</v>
      </c>
      <c r="C19" s="140"/>
      <c r="D19" s="37" t="s">
        <v>140</v>
      </c>
      <c r="E19" s="37" t="s">
        <v>140</v>
      </c>
      <c r="F19" s="37" t="s">
        <v>237</v>
      </c>
      <c r="G19" s="36">
        <v>242</v>
      </c>
      <c r="H19" s="37" t="s">
        <v>238</v>
      </c>
      <c r="I19" s="36">
        <v>3</v>
      </c>
      <c r="J19" s="37" t="s">
        <v>282</v>
      </c>
      <c r="K19" s="36">
        <v>71.39</v>
      </c>
      <c r="L19" s="36">
        <v>77.19</v>
      </c>
    </row>
    <row r="20" spans="1:12" x14ac:dyDescent="0.3">
      <c r="A20" s="36">
        <v>7</v>
      </c>
      <c r="B20" s="163" t="s">
        <v>245</v>
      </c>
      <c r="C20" s="140"/>
      <c r="D20" s="37" t="s">
        <v>153</v>
      </c>
      <c r="E20" s="37" t="s">
        <v>153</v>
      </c>
      <c r="F20" s="37" t="s">
        <v>247</v>
      </c>
      <c r="G20" s="36">
        <v>435</v>
      </c>
      <c r="H20" s="37" t="s">
        <v>238</v>
      </c>
      <c r="I20" s="36">
        <v>5</v>
      </c>
      <c r="J20" s="37" t="s">
        <v>282</v>
      </c>
      <c r="K20" s="36">
        <v>62.2</v>
      </c>
      <c r="L20" s="36">
        <v>71.86</v>
      </c>
    </row>
    <row r="21" spans="1:12" x14ac:dyDescent="0.3">
      <c r="A21" s="36">
        <v>8</v>
      </c>
      <c r="B21" s="163" t="s">
        <v>248</v>
      </c>
      <c r="C21" s="140"/>
      <c r="D21" s="37" t="s">
        <v>153</v>
      </c>
      <c r="E21" s="37" t="s">
        <v>153</v>
      </c>
      <c r="F21" s="37" t="s">
        <v>247</v>
      </c>
      <c r="G21" s="36">
        <v>609</v>
      </c>
      <c r="H21" s="37" t="s">
        <v>238</v>
      </c>
      <c r="I21" s="36">
        <v>7</v>
      </c>
      <c r="J21" s="37" t="s">
        <v>282</v>
      </c>
      <c r="K21" s="36">
        <v>96.22</v>
      </c>
      <c r="L21" s="36">
        <v>109.75</v>
      </c>
    </row>
    <row r="22" spans="1:12" x14ac:dyDescent="0.3">
      <c r="A22" s="36">
        <v>9</v>
      </c>
      <c r="B22" s="163" t="s">
        <v>248</v>
      </c>
      <c r="C22" s="140"/>
      <c r="D22" s="37" t="s">
        <v>153</v>
      </c>
      <c r="E22" s="37" t="s">
        <v>153</v>
      </c>
      <c r="F22" s="37" t="s">
        <v>247</v>
      </c>
      <c r="G22" s="36">
        <v>1045</v>
      </c>
      <c r="H22" s="37" t="s">
        <v>238</v>
      </c>
      <c r="I22" s="36">
        <v>12</v>
      </c>
      <c r="J22" s="37" t="s">
        <v>282</v>
      </c>
      <c r="K22" s="36">
        <v>172.43</v>
      </c>
      <c r="L22" s="36">
        <v>195.62</v>
      </c>
    </row>
    <row r="23" spans="1:12" x14ac:dyDescent="0.3">
      <c r="A23" s="36">
        <v>10</v>
      </c>
      <c r="B23" s="163" t="s">
        <v>248</v>
      </c>
      <c r="C23" s="140"/>
      <c r="D23" s="37" t="s">
        <v>153</v>
      </c>
      <c r="E23" s="37" t="s">
        <v>153</v>
      </c>
      <c r="F23" s="37" t="s">
        <v>247</v>
      </c>
      <c r="G23" s="36">
        <v>914</v>
      </c>
      <c r="H23" s="37" t="s">
        <v>238</v>
      </c>
      <c r="I23" s="36">
        <v>10</v>
      </c>
      <c r="J23" s="37" t="s">
        <v>282</v>
      </c>
      <c r="K23" s="36">
        <v>161.78</v>
      </c>
      <c r="L23" s="36">
        <v>181.1</v>
      </c>
    </row>
    <row r="24" spans="1:12" x14ac:dyDescent="0.3">
      <c r="A24" s="36">
        <v>11</v>
      </c>
      <c r="B24" s="163" t="s">
        <v>248</v>
      </c>
      <c r="C24" s="140"/>
      <c r="D24" s="37" t="s">
        <v>153</v>
      </c>
      <c r="E24" s="37" t="s">
        <v>153</v>
      </c>
      <c r="F24" s="37" t="s">
        <v>247</v>
      </c>
      <c r="G24" s="36">
        <v>784</v>
      </c>
      <c r="H24" s="37" t="s">
        <v>238</v>
      </c>
      <c r="I24" s="36">
        <v>9</v>
      </c>
      <c r="J24" s="37" t="s">
        <v>282</v>
      </c>
      <c r="K24" s="36">
        <v>148.18</v>
      </c>
      <c r="L24" s="36">
        <v>165.57</v>
      </c>
    </row>
    <row r="25" spans="1:12" x14ac:dyDescent="0.3">
      <c r="A25" s="36">
        <v>12</v>
      </c>
      <c r="B25" s="163" t="s">
        <v>248</v>
      </c>
      <c r="C25" s="140"/>
      <c r="D25" s="37" t="s">
        <v>153</v>
      </c>
      <c r="E25" s="37" t="s">
        <v>153</v>
      </c>
      <c r="F25" s="37" t="s">
        <v>247</v>
      </c>
      <c r="G25" s="36">
        <v>566</v>
      </c>
      <c r="H25" s="37" t="s">
        <v>238</v>
      </c>
      <c r="I25" s="36">
        <v>7</v>
      </c>
      <c r="J25" s="37" t="s">
        <v>282</v>
      </c>
      <c r="K25" s="36">
        <v>110.94</v>
      </c>
      <c r="L25" s="36">
        <v>124.47</v>
      </c>
    </row>
    <row r="26" spans="1:12" x14ac:dyDescent="0.3">
      <c r="A26" s="166" t="s">
        <v>283</v>
      </c>
      <c r="B26" s="137"/>
      <c r="C26" s="137"/>
      <c r="D26" s="137"/>
      <c r="E26" s="39" t="s">
        <v>1</v>
      </c>
      <c r="F26" s="39" t="s">
        <v>1</v>
      </c>
      <c r="G26" s="40">
        <v>6043</v>
      </c>
      <c r="H26" s="38" t="s">
        <v>1</v>
      </c>
      <c r="I26" s="40">
        <v>74</v>
      </c>
      <c r="J26" s="38" t="s">
        <v>1</v>
      </c>
      <c r="K26" s="40">
        <v>1193</v>
      </c>
      <c r="L26" s="40">
        <v>1336</v>
      </c>
    </row>
    <row r="27" spans="1:12" x14ac:dyDescent="0.3">
      <c r="A27" s="3" t="s">
        <v>1</v>
      </c>
      <c r="B27" s="3" t="s">
        <v>1</v>
      </c>
      <c r="C27" s="3" t="s">
        <v>1</v>
      </c>
      <c r="D27" s="3" t="s">
        <v>1</v>
      </c>
      <c r="E27" s="4" t="s">
        <v>1</v>
      </c>
      <c r="F27" s="4" t="s">
        <v>1</v>
      </c>
      <c r="G27" s="4" t="s">
        <v>1</v>
      </c>
      <c r="H27" s="4" t="s">
        <v>1</v>
      </c>
      <c r="I27" s="4" t="s">
        <v>1</v>
      </c>
      <c r="J27" s="4" t="s">
        <v>1</v>
      </c>
      <c r="K27" s="4" t="s">
        <v>1</v>
      </c>
      <c r="L27" s="4" t="s">
        <v>1</v>
      </c>
    </row>
    <row r="28" spans="1:12" x14ac:dyDescent="0.3">
      <c r="A28" s="162" t="s">
        <v>206</v>
      </c>
      <c r="B28" s="132"/>
      <c r="C28" s="167" t="s">
        <v>101</v>
      </c>
      <c r="D28" s="132"/>
      <c r="E28" s="4" t="s">
        <v>207</v>
      </c>
      <c r="F28" s="43">
        <v>46100</v>
      </c>
      <c r="G28" s="4" t="s">
        <v>252</v>
      </c>
      <c r="H28" s="167" t="s">
        <v>6</v>
      </c>
      <c r="I28" s="132"/>
      <c r="J28" s="132"/>
      <c r="K28" s="4" t="s">
        <v>207</v>
      </c>
      <c r="L28" s="43">
        <v>41990</v>
      </c>
    </row>
    <row r="29" spans="1:12" x14ac:dyDescent="0.3">
      <c r="A29" s="162" t="s">
        <v>284</v>
      </c>
      <c r="B29" s="132"/>
      <c r="C29" s="167" t="s">
        <v>97</v>
      </c>
      <c r="D29" s="132"/>
      <c r="E29" s="4" t="s">
        <v>207</v>
      </c>
      <c r="F29" s="43">
        <v>46101</v>
      </c>
      <c r="G29" s="4" t="s">
        <v>1</v>
      </c>
      <c r="H29" s="4" t="s">
        <v>1</v>
      </c>
      <c r="I29" s="4" t="s">
        <v>1</v>
      </c>
      <c r="J29" s="4" t="s">
        <v>1</v>
      </c>
      <c r="K29" s="4" t="s">
        <v>1</v>
      </c>
      <c r="L29" s="4" t="s">
        <v>1</v>
      </c>
    </row>
    <row r="30" spans="1:12" x14ac:dyDescent="0.3">
      <c r="A30" s="4" t="s">
        <v>1</v>
      </c>
      <c r="B30" s="4" t="s">
        <v>1</v>
      </c>
      <c r="C30" s="4" t="s">
        <v>1</v>
      </c>
      <c r="D30" s="4" t="s">
        <v>1</v>
      </c>
      <c r="E30" s="4" t="s">
        <v>1</v>
      </c>
      <c r="F30" s="4" t="s">
        <v>1</v>
      </c>
      <c r="G30" s="4" t="s">
        <v>1</v>
      </c>
      <c r="H30" s="164" t="s">
        <v>1</v>
      </c>
      <c r="I30" s="165"/>
      <c r="J30" s="165"/>
      <c r="K30" s="165"/>
      <c r="L30" s="165"/>
    </row>
    <row r="31" spans="1:12" x14ac:dyDescent="0.3">
      <c r="A31" s="4" t="s">
        <v>1</v>
      </c>
      <c r="B31" s="4" t="s">
        <v>1</v>
      </c>
      <c r="C31" s="4" t="s">
        <v>1</v>
      </c>
      <c r="D31" s="4" t="s">
        <v>1</v>
      </c>
      <c r="E31" s="4" t="s">
        <v>1</v>
      </c>
      <c r="F31" s="4" t="s">
        <v>1</v>
      </c>
      <c r="G31" s="4" t="s">
        <v>1</v>
      </c>
      <c r="H31" s="4" t="s">
        <v>208</v>
      </c>
      <c r="I31" s="4" t="s">
        <v>1</v>
      </c>
      <c r="J31" s="4" t="s">
        <v>1</v>
      </c>
      <c r="K31" s="4" t="s">
        <v>1</v>
      </c>
      <c r="L31" s="4" t="s">
        <v>1</v>
      </c>
    </row>
    <row r="32" spans="1:12" x14ac:dyDescent="0.3">
      <c r="A32" s="4" t="s">
        <v>1</v>
      </c>
      <c r="B32" s="4" t="s">
        <v>1</v>
      </c>
      <c r="C32" s="4" t="s">
        <v>1</v>
      </c>
      <c r="D32" s="4" t="s">
        <v>1</v>
      </c>
      <c r="E32" s="4" t="s">
        <v>1</v>
      </c>
      <c r="F32" s="4" t="s">
        <v>1</v>
      </c>
      <c r="G32" s="4" t="s">
        <v>1</v>
      </c>
      <c r="H32" s="4" t="s">
        <v>1</v>
      </c>
      <c r="I32" s="4" t="s">
        <v>1</v>
      </c>
      <c r="J32" s="4" t="s">
        <v>1</v>
      </c>
      <c r="K32" s="4" t="s">
        <v>1</v>
      </c>
      <c r="L32" s="4" t="s">
        <v>1</v>
      </c>
    </row>
    <row r="33" spans="1:12" x14ac:dyDescent="0.3">
      <c r="A33" s="2" t="s">
        <v>1</v>
      </c>
      <c r="B33" s="4" t="s">
        <v>1</v>
      </c>
      <c r="C33" s="4" t="s">
        <v>1</v>
      </c>
      <c r="D33" s="4" t="s">
        <v>1</v>
      </c>
      <c r="E33" s="4" t="s">
        <v>1</v>
      </c>
      <c r="F33" s="4" t="s">
        <v>1</v>
      </c>
      <c r="G33" s="4" t="s">
        <v>1</v>
      </c>
      <c r="H33" s="4" t="s">
        <v>1</v>
      </c>
      <c r="I33" s="4" t="s">
        <v>1</v>
      </c>
      <c r="J33" s="4" t="s">
        <v>1</v>
      </c>
      <c r="K33" s="4" t="s">
        <v>1</v>
      </c>
      <c r="L33" s="4" t="s">
        <v>1</v>
      </c>
    </row>
    <row r="34" spans="1:12" x14ac:dyDescent="0.3">
      <c r="A34" s="131" t="s">
        <v>268</v>
      </c>
      <c r="B34" s="132"/>
      <c r="C34" s="132"/>
      <c r="D34" s="132"/>
      <c r="E34" s="132"/>
      <c r="F34" s="132"/>
      <c r="G34" s="132"/>
      <c r="H34" s="132"/>
      <c r="I34" s="4" t="s">
        <v>1</v>
      </c>
      <c r="J34" s="4" t="s">
        <v>1</v>
      </c>
      <c r="K34" s="4" t="s">
        <v>1</v>
      </c>
      <c r="L34" s="4" t="s">
        <v>1</v>
      </c>
    </row>
    <row r="35" spans="1:12" ht="0" hidden="1" customHeight="1" x14ac:dyDescent="0.3"/>
  </sheetData>
  <mergeCells count="37">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B21:C21"/>
    <mergeCell ref="B22:C22"/>
    <mergeCell ref="B23:C23"/>
    <mergeCell ref="B24:C24"/>
    <mergeCell ref="B25:C25"/>
    <mergeCell ref="A26:D26"/>
    <mergeCell ref="A28:B28"/>
    <mergeCell ref="C28:D28"/>
    <mergeCell ref="H28:J28"/>
    <mergeCell ref="A29:B29"/>
    <mergeCell ref="C29:D29"/>
    <mergeCell ref="H30:L30"/>
    <mergeCell ref="A34:H3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74094-E8CF-4737-9516-7D40ABFB7B08}">
  <dimension ref="B1:AH201"/>
  <sheetViews>
    <sheetView showGridLines="0" tabSelected="1" topLeftCell="A40" zoomScaleNormal="100" zoomScaleSheetLayoutView="100" workbookViewId="0">
      <selection activeCell="H63" sqref="H63"/>
    </sheetView>
  </sheetViews>
  <sheetFormatPr defaultColWidth="9.109375" defaultRowHeight="10.8" x14ac:dyDescent="0.3"/>
  <cols>
    <col min="1" max="1" width="1" style="79" customWidth="1"/>
    <col min="2" max="2" width="0.88671875" style="79" customWidth="1"/>
    <col min="3" max="3" width="48" style="79" bestFit="1" customWidth="1"/>
    <col min="4" max="4" width="5.109375" style="79" customWidth="1"/>
    <col min="5" max="5" width="6.109375" style="79" customWidth="1"/>
    <col min="6" max="6" width="4.33203125" style="79" customWidth="1"/>
    <col min="7" max="7" width="5.6640625" style="79" customWidth="1"/>
    <col min="8" max="8" width="4.109375" style="79" customWidth="1"/>
    <col min="9" max="9" width="1.44140625" style="79" customWidth="1"/>
    <col min="10" max="10" width="3.109375" style="79" customWidth="1"/>
    <col min="11" max="11" width="6.88671875" style="79" customWidth="1"/>
    <col min="12" max="12" width="1.109375" style="79" customWidth="1"/>
    <col min="13" max="13" width="3.6640625" style="79" customWidth="1"/>
    <col min="14" max="14" width="0.6640625" style="79" customWidth="1"/>
    <col min="15" max="15" width="10.44140625" style="79" customWidth="1"/>
    <col min="16" max="16" width="3.6640625" style="79" customWidth="1"/>
    <col min="17" max="17" width="1.88671875" style="79" customWidth="1"/>
    <col min="18" max="18" width="3.109375" style="79" customWidth="1"/>
    <col min="19" max="19" width="5" style="79" customWidth="1"/>
    <col min="20" max="20" width="1.5546875" style="79" customWidth="1"/>
    <col min="21" max="21" width="6.33203125" style="79" customWidth="1"/>
    <col min="22" max="22" width="3.88671875" style="79" customWidth="1"/>
    <col min="23" max="23" width="6.5546875" style="79" customWidth="1"/>
    <col min="24" max="24" width="1.44140625" style="79" customWidth="1"/>
    <col min="25" max="25" width="8.6640625" style="79" customWidth="1"/>
    <col min="26" max="26" width="1.44140625" style="79" customWidth="1"/>
    <col min="27" max="27" width="5.6640625" style="79" customWidth="1"/>
    <col min="28" max="28" width="1.109375" style="79" customWidth="1"/>
    <col min="29" max="29" width="0.5546875" style="79" customWidth="1"/>
    <col min="30" max="30" width="0.6640625" style="79" customWidth="1"/>
    <col min="31" max="16384" width="9.109375" style="79"/>
  </cols>
  <sheetData>
    <row r="1" spans="2:34" s="82" customFormat="1" ht="11.25" customHeight="1" x14ac:dyDescent="0.25">
      <c r="C1" s="194" t="s">
        <v>446</v>
      </c>
      <c r="D1" s="194"/>
      <c r="AA1" s="179" t="s">
        <v>445</v>
      </c>
      <c r="AB1" s="179"/>
      <c r="AC1" s="179"/>
      <c r="AF1" s="82" t="s">
        <v>447</v>
      </c>
      <c r="AG1" s="82" t="s">
        <v>140</v>
      </c>
      <c r="AH1" s="173" t="s">
        <v>449</v>
      </c>
    </row>
    <row r="2" spans="2:34" s="82" customFormat="1" ht="11.25" customHeight="1" x14ac:dyDescent="0.3">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127"/>
      <c r="AC2" s="127"/>
      <c r="AD2" s="127"/>
      <c r="AF2" s="80" t="s">
        <v>448</v>
      </c>
      <c r="AG2" s="82" t="s">
        <v>153</v>
      </c>
      <c r="AH2" s="173"/>
    </row>
    <row r="3" spans="2:34" s="82" customFormat="1" ht="11.25" customHeight="1" x14ac:dyDescent="0.3">
      <c r="B3" s="128"/>
      <c r="C3" s="209"/>
      <c r="D3" s="209"/>
      <c r="E3" s="209"/>
      <c r="F3" s="209"/>
      <c r="G3" s="209"/>
      <c r="H3" s="209"/>
      <c r="I3" s="209"/>
      <c r="J3" s="209"/>
      <c r="K3" s="209"/>
      <c r="L3" s="209"/>
      <c r="M3" s="209"/>
      <c r="N3" s="209"/>
      <c r="O3" s="209"/>
      <c r="P3" s="209"/>
      <c r="Q3" s="209"/>
      <c r="R3" s="209"/>
      <c r="S3" s="209"/>
      <c r="T3" s="209"/>
      <c r="U3" s="209"/>
      <c r="V3" s="209"/>
      <c r="W3" s="209"/>
      <c r="X3" s="209"/>
      <c r="Y3" s="209"/>
      <c r="Z3" s="209"/>
      <c r="AA3" s="209"/>
      <c r="AB3" s="127"/>
      <c r="AC3" s="127"/>
      <c r="AD3" s="127"/>
      <c r="AF3" s="80"/>
      <c r="AG3" s="82" t="s">
        <v>1</v>
      </c>
      <c r="AH3" s="173"/>
    </row>
    <row r="4" spans="2:34" s="82" customFormat="1" ht="11.25" customHeight="1" x14ac:dyDescent="0.3">
      <c r="C4" s="88" t="s">
        <v>444</v>
      </c>
      <c r="E4" s="181" t="s">
        <v>450</v>
      </c>
      <c r="F4" s="182"/>
      <c r="G4" s="182"/>
      <c r="H4" s="182"/>
      <c r="I4" s="182"/>
      <c r="J4" s="182"/>
      <c r="K4" s="175"/>
      <c r="L4" s="175"/>
      <c r="M4" s="175"/>
      <c r="N4" s="175"/>
      <c r="O4" s="175"/>
      <c r="P4" s="194" t="s">
        <v>1</v>
      </c>
      <c r="Q4" s="194"/>
      <c r="R4" s="194"/>
      <c r="S4" s="194"/>
      <c r="T4" s="86" t="s">
        <v>25</v>
      </c>
      <c r="U4" s="194" t="s">
        <v>443</v>
      </c>
      <c r="V4" s="194"/>
      <c r="AF4" s="80"/>
      <c r="AH4" s="173"/>
    </row>
    <row r="5" spans="2:34" s="82" customFormat="1" ht="11.25" customHeight="1" x14ac:dyDescent="0.3">
      <c r="C5" s="88"/>
      <c r="I5" s="106"/>
      <c r="J5" s="106"/>
      <c r="K5" s="173"/>
      <c r="L5" s="173"/>
      <c r="M5" s="173"/>
      <c r="N5" s="173"/>
      <c r="O5" s="173"/>
      <c r="P5" s="106"/>
      <c r="Q5" s="106"/>
      <c r="R5" s="106"/>
      <c r="S5" s="106"/>
      <c r="T5" s="106"/>
      <c r="AF5" s="232"/>
      <c r="AG5" s="232"/>
      <c r="AH5" s="232"/>
    </row>
    <row r="6" spans="2:34" s="82" customFormat="1" ht="11.25" customHeight="1" x14ac:dyDescent="0.3">
      <c r="C6" s="88" t="s">
        <v>442</v>
      </c>
      <c r="F6" s="208">
        <v>1</v>
      </c>
      <c r="G6" s="208"/>
      <c r="H6" s="84"/>
      <c r="I6" s="177" t="s">
        <v>441</v>
      </c>
      <c r="J6" s="177"/>
      <c r="K6" s="177"/>
      <c r="L6" s="208" t="s">
        <v>451</v>
      </c>
      <c r="M6" s="208"/>
      <c r="N6" s="208"/>
      <c r="O6" s="208"/>
      <c r="P6" s="207" t="s">
        <v>440</v>
      </c>
      <c r="Q6" s="207"/>
      <c r="R6" s="207"/>
      <c r="S6" s="207"/>
      <c r="T6" s="207"/>
      <c r="U6" s="207"/>
      <c r="V6" s="207"/>
      <c r="W6" s="207"/>
      <c r="X6" s="106"/>
      <c r="Y6" s="181" t="s">
        <v>452</v>
      </c>
      <c r="Z6" s="182"/>
      <c r="AA6" s="182"/>
      <c r="AB6" s="182"/>
      <c r="AC6" s="182"/>
      <c r="AD6" s="182"/>
      <c r="AF6" s="232"/>
      <c r="AG6" s="232"/>
      <c r="AH6" s="232"/>
    </row>
    <row r="7" spans="2:34" s="82" customFormat="1" ht="11.25" customHeight="1" x14ac:dyDescent="0.3">
      <c r="C7" s="201" t="s">
        <v>439</v>
      </c>
      <c r="D7" s="201"/>
      <c r="E7" s="201"/>
      <c r="F7" s="201"/>
      <c r="G7" s="201"/>
      <c r="H7" s="201"/>
      <c r="I7" s="201"/>
      <c r="J7" s="194" t="s">
        <v>438</v>
      </c>
      <c r="K7" s="194"/>
      <c r="L7" s="194"/>
      <c r="M7" s="194"/>
      <c r="N7" s="194"/>
      <c r="O7" s="194"/>
      <c r="P7" s="207" t="s">
        <v>437</v>
      </c>
      <c r="Q7" s="207"/>
      <c r="R7" s="207"/>
      <c r="S7" s="207"/>
      <c r="T7" s="207"/>
      <c r="U7" s="207"/>
      <c r="V7" s="207"/>
      <c r="W7" s="207"/>
      <c r="X7" s="106"/>
      <c r="Y7" s="125" t="s">
        <v>453</v>
      </c>
      <c r="Z7" s="106"/>
      <c r="AA7" s="106"/>
      <c r="AF7" s="232"/>
      <c r="AG7" s="232"/>
      <c r="AH7" s="232"/>
    </row>
    <row r="8" spans="2:34" s="82" customFormat="1" ht="11.25" customHeight="1" x14ac:dyDescent="0.3">
      <c r="C8" s="175" t="s">
        <v>436</v>
      </c>
      <c r="D8" s="175"/>
      <c r="E8" s="175"/>
      <c r="F8" s="206">
        <v>46101</v>
      </c>
      <c r="G8" s="194"/>
      <c r="H8" s="194"/>
      <c r="I8" s="194"/>
      <c r="J8" s="194"/>
      <c r="K8" s="194"/>
      <c r="L8" s="194"/>
      <c r="M8" s="194"/>
      <c r="N8" s="194"/>
      <c r="O8" s="194"/>
      <c r="P8" s="207"/>
      <c r="Q8" s="207"/>
      <c r="R8" s="207"/>
      <c r="S8" s="207"/>
      <c r="T8" s="207"/>
      <c r="U8" s="207"/>
      <c r="V8" s="207"/>
      <c r="W8" s="207"/>
      <c r="X8" s="106"/>
      <c r="Y8" s="106" t="s">
        <v>435</v>
      </c>
      <c r="Z8" s="106"/>
      <c r="AA8" s="106"/>
      <c r="AF8" s="232"/>
      <c r="AG8" s="232"/>
      <c r="AH8" s="232"/>
    </row>
    <row r="9" spans="2:34" s="82" customFormat="1" ht="11.25" customHeight="1" x14ac:dyDescent="0.3">
      <c r="C9" s="88"/>
      <c r="D9" s="97"/>
      <c r="E9" s="97"/>
      <c r="G9" s="174"/>
      <c r="H9" s="174"/>
      <c r="I9" s="174"/>
      <c r="J9" s="86" t="s">
        <v>25</v>
      </c>
      <c r="K9" s="84" t="s">
        <v>1</v>
      </c>
      <c r="L9" s="173"/>
      <c r="M9" s="173"/>
      <c r="N9" s="173"/>
      <c r="O9" s="106"/>
      <c r="P9" s="106"/>
      <c r="Q9" s="106"/>
      <c r="R9" s="106"/>
      <c r="S9" s="106"/>
      <c r="AF9" s="232"/>
      <c r="AG9" s="232"/>
      <c r="AH9" s="232"/>
    </row>
    <row r="10" spans="2:34" s="82" customFormat="1" ht="11.25" customHeight="1" x14ac:dyDescent="0.3">
      <c r="C10" s="87"/>
      <c r="D10" s="87"/>
      <c r="E10" s="87"/>
      <c r="F10" s="87"/>
      <c r="G10" s="124"/>
      <c r="H10" s="124"/>
      <c r="I10" s="124"/>
      <c r="J10" s="124"/>
      <c r="K10" s="124"/>
      <c r="L10" s="87"/>
      <c r="M10" s="87"/>
      <c r="N10" s="87"/>
      <c r="O10" s="123"/>
      <c r="P10" s="123"/>
      <c r="Q10" s="123"/>
      <c r="R10" s="123"/>
      <c r="S10" s="123"/>
      <c r="T10" s="87"/>
      <c r="U10" s="87"/>
      <c r="V10" s="87"/>
      <c r="W10" s="87"/>
      <c r="X10" s="87"/>
      <c r="Y10" s="87"/>
      <c r="Z10" s="87"/>
      <c r="AA10" s="87"/>
      <c r="AB10" s="87"/>
      <c r="AF10" s="232"/>
      <c r="AG10" s="232"/>
      <c r="AH10" s="232"/>
    </row>
    <row r="11" spans="2:34" s="82" customFormat="1" ht="11.25" customHeight="1" x14ac:dyDescent="0.3">
      <c r="G11" s="84"/>
      <c r="H11" s="84"/>
      <c r="I11" s="84"/>
      <c r="J11" s="84"/>
      <c r="K11" s="84"/>
      <c r="O11" s="106"/>
      <c r="P11" s="106"/>
      <c r="Q11" s="106"/>
      <c r="R11" s="106"/>
      <c r="S11" s="106"/>
      <c r="AF11" s="232"/>
      <c r="AG11" s="232"/>
      <c r="AH11" s="232"/>
    </row>
    <row r="12" spans="2:34" s="82" customFormat="1" ht="11.25" customHeight="1" x14ac:dyDescent="0.3">
      <c r="C12" s="88" t="s">
        <v>434</v>
      </c>
      <c r="AF12" s="232"/>
      <c r="AG12" s="232"/>
      <c r="AH12" s="232"/>
    </row>
    <row r="13" spans="2:34" s="82" customFormat="1" ht="11.25" customHeight="1" x14ac:dyDescent="0.3">
      <c r="C13" s="119"/>
      <c r="D13" s="122" t="s">
        <v>432</v>
      </c>
      <c r="E13" s="121"/>
      <c r="F13" s="203" t="s">
        <v>454</v>
      </c>
      <c r="G13" s="202"/>
      <c r="H13" s="202"/>
      <c r="I13" s="202"/>
      <c r="J13" s="202"/>
      <c r="K13" s="202"/>
      <c r="L13" s="202"/>
      <c r="M13" s="202"/>
      <c r="N13" s="202"/>
      <c r="O13" s="202"/>
      <c r="P13" s="202"/>
      <c r="Q13" s="202"/>
      <c r="R13" s="202"/>
      <c r="S13" s="202"/>
      <c r="T13" s="202"/>
      <c r="U13" s="202"/>
      <c r="V13" s="202"/>
      <c r="W13" s="202"/>
      <c r="X13" s="202"/>
      <c r="Y13" s="202"/>
      <c r="Z13" s="202"/>
      <c r="AA13" s="202"/>
      <c r="AF13" s="232"/>
      <c r="AG13" s="232"/>
      <c r="AH13" s="232"/>
    </row>
    <row r="14" spans="2:34" s="82" customFormat="1" ht="11.25" customHeight="1" x14ac:dyDescent="0.3">
      <c r="D14" s="113" t="s">
        <v>431</v>
      </c>
      <c r="E14" s="126"/>
      <c r="F14" s="204" t="str">
        <f>'[1]Сontract Base'!C15</f>
        <v>ХОШИМИН БРАНЧ - НХА ТРЭНГ ТЕКСТАЙЛ ЭНД ГАРМЕНТ ДЖОИН СТОК КОМПАНИ</v>
      </c>
      <c r="G14" s="178"/>
      <c r="H14" s="178"/>
      <c r="I14" s="178"/>
      <c r="J14" s="178"/>
      <c r="K14" s="178"/>
      <c r="L14" s="178"/>
      <c r="M14" s="178"/>
      <c r="N14" s="178"/>
      <c r="O14" s="178"/>
      <c r="P14" s="178"/>
      <c r="Q14" s="178"/>
      <c r="R14" s="178"/>
      <c r="S14" s="178"/>
      <c r="T14" s="178"/>
      <c r="U14" s="178"/>
      <c r="V14" s="178"/>
      <c r="W14" s="178"/>
      <c r="X14" s="178"/>
      <c r="Y14" s="178"/>
      <c r="Z14" s="178"/>
      <c r="AA14" s="178"/>
      <c r="AF14" s="232"/>
      <c r="AG14" s="232"/>
      <c r="AH14" s="232"/>
    </row>
    <row r="15" spans="2:34" s="82" customFormat="1" ht="11.25" customHeight="1" x14ac:dyDescent="0.3">
      <c r="D15" s="120"/>
      <c r="E15" s="126"/>
      <c r="F15" s="178"/>
      <c r="G15" s="178"/>
      <c r="H15" s="178"/>
      <c r="I15" s="178"/>
      <c r="J15" s="178"/>
      <c r="K15" s="178"/>
      <c r="L15" s="178"/>
      <c r="M15" s="178"/>
      <c r="N15" s="178"/>
      <c r="O15" s="178"/>
      <c r="P15" s="178"/>
      <c r="Q15" s="178"/>
      <c r="R15" s="178"/>
      <c r="S15" s="178"/>
      <c r="T15" s="178"/>
      <c r="U15" s="178"/>
      <c r="V15" s="178"/>
      <c r="W15" s="178"/>
      <c r="X15" s="178"/>
      <c r="Y15" s="178"/>
      <c r="Z15" s="178"/>
      <c r="AA15" s="178"/>
      <c r="AF15" s="232"/>
      <c r="AG15" s="232"/>
      <c r="AH15" s="232"/>
    </row>
    <row r="16" spans="2:34" s="82" customFormat="1" ht="11.25" customHeight="1" x14ac:dyDescent="0.3">
      <c r="D16" s="175" t="s">
        <v>335</v>
      </c>
      <c r="E16" s="175"/>
      <c r="F16" s="173" t="s">
        <v>1</v>
      </c>
      <c r="G16" s="173"/>
      <c r="H16" s="173"/>
      <c r="I16" s="173"/>
      <c r="J16" s="173"/>
      <c r="K16" s="173"/>
      <c r="L16" s="173"/>
      <c r="M16" s="173"/>
      <c r="N16" s="173"/>
      <c r="O16" s="173"/>
      <c r="P16" s="173"/>
      <c r="Q16" s="173"/>
      <c r="R16" s="173"/>
      <c r="S16" s="173"/>
      <c r="T16" s="173"/>
      <c r="U16" s="173"/>
      <c r="V16" s="173"/>
      <c r="W16" s="173"/>
      <c r="X16" s="173"/>
      <c r="Y16" s="173"/>
      <c r="Z16" s="173"/>
      <c r="AA16" s="173"/>
      <c r="AF16" s="232"/>
      <c r="AG16" s="232"/>
      <c r="AH16" s="232"/>
    </row>
    <row r="17" spans="3:34" s="82" customFormat="1" ht="11.25" customHeight="1" x14ac:dyDescent="0.3">
      <c r="D17" s="175"/>
      <c r="E17" s="175"/>
      <c r="F17" s="178" t="str">
        <f>'[1]Сontract Base'!C16</f>
        <v>54 ТОН  ТХАТ ТУНГ, БЭН ТХАНХ ВАРД, ДИСТРИКТ 1, ХОШИМИН СИТИ, ВЬЕТНАМ</v>
      </c>
      <c r="G17" s="178"/>
      <c r="H17" s="178"/>
      <c r="I17" s="178"/>
      <c r="J17" s="178"/>
      <c r="K17" s="178"/>
      <c r="L17" s="178"/>
      <c r="M17" s="178"/>
      <c r="N17" s="178"/>
      <c r="O17" s="178"/>
      <c r="P17" s="178"/>
      <c r="Q17" s="178"/>
      <c r="R17" s="178"/>
      <c r="S17" s="178"/>
      <c r="T17" s="178"/>
      <c r="U17" s="178"/>
      <c r="V17" s="178"/>
      <c r="W17" s="178"/>
      <c r="X17" s="178"/>
      <c r="Y17" s="178"/>
      <c r="Z17" s="178"/>
      <c r="AA17" s="178"/>
      <c r="AF17" s="232"/>
      <c r="AG17" s="232"/>
      <c r="AH17" s="232"/>
    </row>
    <row r="18" spans="3:34" s="82" customFormat="1" ht="11.25" customHeight="1" x14ac:dyDescent="0.3">
      <c r="D18" s="88"/>
      <c r="E18" s="88"/>
      <c r="F18" s="178"/>
      <c r="G18" s="178"/>
      <c r="H18" s="178"/>
      <c r="I18" s="178"/>
      <c r="J18" s="178"/>
      <c r="K18" s="178"/>
      <c r="L18" s="178"/>
      <c r="M18" s="178"/>
      <c r="N18" s="178"/>
      <c r="O18" s="178"/>
      <c r="P18" s="178"/>
      <c r="Q18" s="178"/>
      <c r="R18" s="178"/>
      <c r="S18" s="178"/>
      <c r="T18" s="178"/>
      <c r="U18" s="178"/>
      <c r="V18" s="178"/>
      <c r="W18" s="178"/>
      <c r="X18" s="178"/>
      <c r="Y18" s="178"/>
      <c r="Z18" s="178"/>
      <c r="AA18" s="178"/>
      <c r="AF18" s="232"/>
      <c r="AG18" s="232"/>
      <c r="AH18" s="232"/>
    </row>
    <row r="19" spans="3:34" s="82" customFormat="1" ht="11.25" customHeight="1" x14ac:dyDescent="0.3">
      <c r="D19" s="175" t="s">
        <v>428</v>
      </c>
      <c r="E19" s="175"/>
      <c r="F19" s="202"/>
      <c r="G19" s="202"/>
      <c r="H19" s="202"/>
      <c r="I19" s="202"/>
      <c r="J19" s="202"/>
      <c r="K19" s="202"/>
      <c r="L19" s="202"/>
      <c r="M19" s="202"/>
      <c r="N19" s="202"/>
      <c r="O19" s="202"/>
      <c r="P19" s="202"/>
      <c r="Q19" s="202"/>
      <c r="R19" s="202"/>
      <c r="S19" s="202"/>
      <c r="T19" s="202"/>
      <c r="U19" s="202"/>
      <c r="V19" s="202"/>
      <c r="W19" s="202"/>
      <c r="X19" s="202"/>
      <c r="Y19" s="202"/>
      <c r="Z19" s="202"/>
      <c r="AA19" s="202"/>
      <c r="AF19" s="232"/>
      <c r="AG19" s="232"/>
      <c r="AH19" s="232"/>
    </row>
    <row r="20" spans="3:34" s="82" customFormat="1" ht="11.25" customHeight="1" x14ac:dyDescent="0.3">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F20" s="232"/>
      <c r="AG20" s="232"/>
      <c r="AH20" s="232"/>
    </row>
    <row r="21" spans="3:34" s="82" customFormat="1" ht="11.25" customHeight="1" x14ac:dyDescent="0.3">
      <c r="AF21" s="232"/>
      <c r="AG21" s="232"/>
      <c r="AH21" s="232"/>
    </row>
    <row r="22" spans="3:34" s="82" customFormat="1" ht="11.25" customHeight="1" x14ac:dyDescent="0.3">
      <c r="C22" s="88"/>
      <c r="AF22" s="232"/>
      <c r="AG22" s="232"/>
      <c r="AH22" s="232"/>
    </row>
    <row r="23" spans="3:34" s="82" customFormat="1" ht="11.25" customHeight="1" x14ac:dyDescent="0.3">
      <c r="D23" s="88" t="s">
        <v>432</v>
      </c>
      <c r="F23" s="173" t="s">
        <v>1</v>
      </c>
      <c r="G23" s="173"/>
      <c r="H23" s="173"/>
      <c r="I23" s="173"/>
      <c r="J23" s="173"/>
      <c r="K23" s="173"/>
      <c r="L23" s="173"/>
      <c r="M23" s="173"/>
      <c r="N23" s="173"/>
      <c r="O23" s="173"/>
      <c r="P23" s="173"/>
      <c r="Q23" s="173"/>
      <c r="R23" s="173"/>
      <c r="S23" s="173"/>
      <c r="T23" s="173"/>
      <c r="U23" s="173"/>
      <c r="V23" s="173"/>
      <c r="W23" s="173"/>
      <c r="X23" s="173"/>
      <c r="Y23" s="173"/>
      <c r="Z23" s="173"/>
      <c r="AA23" s="173"/>
      <c r="AF23" s="232"/>
      <c r="AG23" s="232"/>
      <c r="AH23" s="232"/>
    </row>
    <row r="24" spans="3:34" s="82" customFormat="1" ht="11.25" customHeight="1" x14ac:dyDescent="0.3">
      <c r="D24" s="113" t="s">
        <v>431</v>
      </c>
      <c r="E24" s="119"/>
      <c r="F24" s="178" t="s">
        <v>1</v>
      </c>
      <c r="G24" s="178"/>
      <c r="H24" s="178"/>
      <c r="I24" s="178"/>
      <c r="J24" s="178"/>
      <c r="K24" s="178"/>
      <c r="L24" s="178"/>
      <c r="M24" s="178"/>
      <c r="N24" s="178"/>
      <c r="O24" s="178"/>
      <c r="P24" s="178"/>
      <c r="Q24" s="178"/>
      <c r="R24" s="178"/>
      <c r="S24" s="178"/>
      <c r="T24" s="178"/>
      <c r="U24" s="178"/>
      <c r="V24" s="178"/>
      <c r="W24" s="178"/>
      <c r="X24" s="178"/>
      <c r="Y24" s="178"/>
      <c r="Z24" s="178"/>
      <c r="AA24" s="178"/>
      <c r="AF24" s="232"/>
      <c r="AG24" s="232"/>
      <c r="AH24" s="232"/>
    </row>
    <row r="25" spans="3:34" s="82" customFormat="1" ht="11.25" customHeight="1" x14ac:dyDescent="0.3">
      <c r="D25" s="115"/>
      <c r="E25" s="119"/>
      <c r="F25" s="178"/>
      <c r="G25" s="178"/>
      <c r="H25" s="178"/>
      <c r="I25" s="178"/>
      <c r="J25" s="178"/>
      <c r="K25" s="178"/>
      <c r="L25" s="178"/>
      <c r="M25" s="178"/>
      <c r="N25" s="178"/>
      <c r="O25" s="178"/>
      <c r="P25" s="178"/>
      <c r="Q25" s="178"/>
      <c r="R25" s="178"/>
      <c r="S25" s="178"/>
      <c r="T25" s="178"/>
      <c r="U25" s="178"/>
      <c r="V25" s="178"/>
      <c r="W25" s="178"/>
      <c r="X25" s="178"/>
      <c r="Y25" s="178"/>
      <c r="Z25" s="178"/>
      <c r="AA25" s="178"/>
      <c r="AF25" s="232"/>
      <c r="AG25" s="232"/>
      <c r="AH25" s="232"/>
    </row>
    <row r="26" spans="3:34" s="82" customFormat="1" ht="11.25" customHeight="1" x14ac:dyDescent="0.3">
      <c r="C26" s="87"/>
      <c r="D26" s="118"/>
      <c r="E26" s="117"/>
      <c r="F26" s="116"/>
      <c r="G26" s="116"/>
      <c r="H26" s="116"/>
      <c r="I26" s="116"/>
      <c r="J26" s="116"/>
      <c r="K26" s="116"/>
      <c r="L26" s="116"/>
      <c r="M26" s="116"/>
      <c r="N26" s="116"/>
      <c r="O26" s="116"/>
      <c r="P26" s="116"/>
      <c r="Q26" s="116"/>
      <c r="R26" s="116"/>
      <c r="S26" s="116"/>
      <c r="T26" s="116"/>
      <c r="U26" s="116"/>
      <c r="V26" s="116"/>
      <c r="W26" s="116"/>
      <c r="X26" s="116"/>
      <c r="Y26" s="116"/>
      <c r="Z26" s="116"/>
      <c r="AA26" s="116"/>
      <c r="AB26" s="87"/>
      <c r="AF26" s="232"/>
      <c r="AG26" s="232"/>
      <c r="AH26" s="232"/>
    </row>
    <row r="27" spans="3:34" s="82" customFormat="1" ht="11.25" customHeight="1" x14ac:dyDescent="0.3">
      <c r="D27" s="115"/>
      <c r="E27" s="119"/>
      <c r="F27" s="114"/>
      <c r="G27" s="114"/>
      <c r="H27" s="114"/>
      <c r="I27" s="114"/>
      <c r="J27" s="114"/>
      <c r="K27" s="114"/>
      <c r="L27" s="114"/>
      <c r="M27" s="114"/>
      <c r="N27" s="114"/>
      <c r="O27" s="114"/>
      <c r="P27" s="114"/>
      <c r="Q27" s="114"/>
      <c r="R27" s="114"/>
      <c r="S27" s="114"/>
      <c r="T27" s="114"/>
      <c r="U27" s="114"/>
      <c r="V27" s="114"/>
      <c r="W27" s="114"/>
      <c r="X27" s="114"/>
      <c r="Y27" s="114"/>
      <c r="Z27" s="114"/>
      <c r="AA27" s="114"/>
      <c r="AF27" s="232"/>
      <c r="AG27" s="232"/>
      <c r="AH27" s="232"/>
    </row>
    <row r="28" spans="3:34" s="82" customFormat="1" ht="11.25" customHeight="1" x14ac:dyDescent="0.3">
      <c r="C28" s="88" t="s">
        <v>433</v>
      </c>
      <c r="AF28" s="232"/>
      <c r="AG28" s="232"/>
      <c r="AH28" s="232"/>
    </row>
    <row r="29" spans="3:34" s="82" customFormat="1" ht="11.25" customHeight="1" x14ac:dyDescent="0.3">
      <c r="D29" s="88" t="s">
        <v>432</v>
      </c>
      <c r="E29" s="126"/>
      <c r="F29" s="196" t="s">
        <v>1</v>
      </c>
      <c r="G29" s="196"/>
      <c r="H29" s="196"/>
      <c r="I29" s="196"/>
      <c r="J29" s="196"/>
      <c r="K29" s="196"/>
      <c r="L29" s="196"/>
      <c r="M29" s="196"/>
      <c r="N29" s="196"/>
      <c r="O29" s="196"/>
      <c r="P29" s="196"/>
      <c r="Q29" s="196"/>
      <c r="R29" s="196"/>
      <c r="S29" s="196"/>
      <c r="T29" s="196"/>
      <c r="U29" s="196"/>
      <c r="V29" s="196"/>
      <c r="W29" s="196"/>
      <c r="X29" s="196"/>
      <c r="Y29" s="196"/>
      <c r="Z29" s="196"/>
      <c r="AA29" s="196"/>
      <c r="AF29" s="232"/>
      <c r="AG29" s="232"/>
      <c r="AH29" s="232"/>
    </row>
    <row r="30" spans="3:34" s="82" customFormat="1" ht="11.25" customHeight="1" x14ac:dyDescent="0.3">
      <c r="D30" s="113" t="s">
        <v>431</v>
      </c>
      <c r="E30" s="126"/>
      <c r="F30" s="205" t="s">
        <v>455</v>
      </c>
      <c r="G30" s="205"/>
      <c r="H30" s="205"/>
      <c r="I30" s="205"/>
      <c r="J30" s="205"/>
      <c r="K30" s="205"/>
      <c r="L30" s="205"/>
      <c r="M30" s="205"/>
      <c r="N30" s="205"/>
      <c r="O30" s="205"/>
      <c r="P30" s="205"/>
      <c r="Q30" s="205"/>
      <c r="R30" s="205"/>
      <c r="S30" s="205"/>
      <c r="T30" s="205"/>
      <c r="U30" s="205"/>
      <c r="V30" s="205"/>
      <c r="W30" s="205"/>
      <c r="X30" s="205"/>
      <c r="Y30" s="205"/>
      <c r="Z30" s="205"/>
      <c r="AA30" s="205"/>
      <c r="AF30" s="232"/>
      <c r="AG30" s="232"/>
      <c r="AH30" s="232"/>
    </row>
    <row r="31" spans="3:34" s="82" customFormat="1" ht="11.25" customHeight="1" x14ac:dyDescent="0.3">
      <c r="D31" s="126"/>
      <c r="E31" s="126"/>
      <c r="F31" s="205"/>
      <c r="G31" s="205"/>
      <c r="H31" s="205"/>
      <c r="I31" s="205"/>
      <c r="J31" s="205"/>
      <c r="K31" s="205"/>
      <c r="L31" s="205"/>
      <c r="M31" s="205"/>
      <c r="N31" s="205"/>
      <c r="O31" s="205"/>
      <c r="P31" s="205"/>
      <c r="Q31" s="205"/>
      <c r="R31" s="205"/>
      <c r="S31" s="205"/>
      <c r="T31" s="205"/>
      <c r="U31" s="205"/>
      <c r="V31" s="205"/>
      <c r="W31" s="205"/>
      <c r="X31" s="205"/>
      <c r="Y31" s="205"/>
      <c r="Z31" s="205"/>
      <c r="AA31" s="205"/>
      <c r="AF31" s="232"/>
      <c r="AG31" s="232"/>
      <c r="AH31" s="232"/>
    </row>
    <row r="32" spans="3:34" s="82" customFormat="1" ht="11.25" customHeight="1" x14ac:dyDescent="0.3">
      <c r="D32" s="175" t="s">
        <v>335</v>
      </c>
      <c r="E32" s="175"/>
      <c r="F32" s="196" t="s">
        <v>1</v>
      </c>
      <c r="G32" s="196"/>
      <c r="H32" s="196"/>
      <c r="I32" s="196"/>
      <c r="J32" s="196"/>
      <c r="K32" s="196"/>
      <c r="L32" s="196"/>
      <c r="M32" s="196"/>
      <c r="N32" s="196"/>
      <c r="O32" s="196"/>
      <c r="P32" s="196"/>
      <c r="Q32" s="196"/>
      <c r="R32" s="196"/>
      <c r="S32" s="196"/>
      <c r="T32" s="196"/>
      <c r="U32" s="196"/>
      <c r="V32" s="196"/>
      <c r="W32" s="196"/>
      <c r="X32" s="196"/>
      <c r="Y32" s="196"/>
      <c r="Z32" s="196"/>
      <c r="AA32" s="196"/>
      <c r="AF32" s="232"/>
      <c r="AG32" s="232"/>
      <c r="AH32" s="232"/>
    </row>
    <row r="33" spans="3:34" s="82" customFormat="1" ht="11.25" customHeight="1" x14ac:dyDescent="0.3">
      <c r="D33" s="183"/>
      <c r="E33" s="183"/>
      <c r="F33" s="196" t="s">
        <v>430</v>
      </c>
      <c r="G33" s="196"/>
      <c r="H33" s="196"/>
      <c r="I33" s="196"/>
      <c r="J33" s="196"/>
      <c r="K33" s="196"/>
      <c r="L33" s="196"/>
      <c r="M33" s="196"/>
      <c r="N33" s="196"/>
      <c r="O33" s="196"/>
      <c r="P33" s="196"/>
      <c r="Q33" s="112"/>
      <c r="R33" s="196" t="s">
        <v>429</v>
      </c>
      <c r="S33" s="196"/>
      <c r="T33" s="196"/>
      <c r="U33" s="196"/>
      <c r="V33" s="196"/>
      <c r="W33" s="196"/>
      <c r="X33" s="196"/>
      <c r="Y33" s="196"/>
      <c r="Z33" s="196"/>
      <c r="AA33" s="196"/>
      <c r="AF33" s="232"/>
      <c r="AG33" s="232"/>
      <c r="AH33" s="232"/>
    </row>
    <row r="34" spans="3:34" s="82" customFormat="1" ht="11.25" customHeight="1" x14ac:dyDescent="0.3">
      <c r="D34" s="183"/>
      <c r="E34" s="183"/>
      <c r="F34" s="197"/>
      <c r="G34" s="196"/>
      <c r="H34" s="196"/>
      <c r="I34" s="196"/>
      <c r="J34" s="196"/>
      <c r="K34" s="196"/>
      <c r="L34" s="196"/>
      <c r="M34" s="196"/>
      <c r="N34" s="196"/>
      <c r="O34" s="196"/>
      <c r="P34" s="196"/>
      <c r="Q34" s="112"/>
      <c r="R34" s="196"/>
      <c r="S34" s="196"/>
      <c r="T34" s="196"/>
      <c r="U34" s="196"/>
      <c r="V34" s="196"/>
      <c r="W34" s="196"/>
      <c r="X34" s="196"/>
      <c r="Y34" s="196"/>
      <c r="Z34" s="196"/>
      <c r="AA34" s="196"/>
      <c r="AF34" s="232"/>
      <c r="AG34" s="232"/>
      <c r="AH34" s="232"/>
    </row>
    <row r="35" spans="3:34" s="82" customFormat="1" ht="11.25" customHeight="1" x14ac:dyDescent="0.3">
      <c r="D35" s="175" t="s">
        <v>428</v>
      </c>
      <c r="E35" s="175"/>
      <c r="F35" s="196"/>
      <c r="G35" s="196"/>
      <c r="H35" s="196"/>
      <c r="I35" s="196"/>
      <c r="J35" s="196"/>
      <c r="K35" s="196"/>
      <c r="L35" s="196"/>
      <c r="M35" s="196"/>
      <c r="N35" s="196"/>
      <c r="O35" s="196"/>
      <c r="P35" s="196"/>
      <c r="Q35" s="196"/>
      <c r="R35" s="196"/>
      <c r="S35" s="196"/>
      <c r="T35" s="196"/>
      <c r="U35" s="196"/>
      <c r="V35" s="196"/>
      <c r="W35" s="196"/>
      <c r="X35" s="196"/>
      <c r="Y35" s="196"/>
      <c r="Z35" s="196"/>
      <c r="AA35" s="196"/>
      <c r="AF35" s="232"/>
      <c r="AG35" s="232"/>
      <c r="AH35" s="232"/>
    </row>
    <row r="36" spans="3:34" s="82" customFormat="1" ht="11.25" customHeight="1" x14ac:dyDescent="0.3">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F36" s="232"/>
      <c r="AG36" s="232"/>
      <c r="AH36" s="232"/>
    </row>
    <row r="37" spans="3:34" ht="11.25" customHeight="1" x14ac:dyDescent="0.3">
      <c r="C37" s="111" t="s">
        <v>427</v>
      </c>
      <c r="D37" s="110"/>
      <c r="E37" s="110"/>
      <c r="F37" s="198"/>
      <c r="G37" s="198"/>
      <c r="H37" s="199" t="s">
        <v>1</v>
      </c>
      <c r="I37" s="199"/>
      <c r="J37" s="199"/>
      <c r="K37" s="199"/>
      <c r="L37" s="199"/>
      <c r="M37" s="199"/>
      <c r="N37" s="199"/>
      <c r="O37" s="199"/>
      <c r="P37" s="199"/>
      <c r="Q37" s="199"/>
      <c r="R37" s="199"/>
      <c r="S37" s="199"/>
      <c r="T37" s="199"/>
      <c r="U37" s="199"/>
      <c r="V37" s="199"/>
      <c r="W37" s="200"/>
      <c r="X37" s="200"/>
      <c r="Y37" s="200"/>
      <c r="Z37" s="199" t="s">
        <v>1</v>
      </c>
      <c r="AA37" s="199"/>
      <c r="AB37" s="110"/>
      <c r="AF37"/>
      <c r="AG37"/>
      <c r="AH37"/>
    </row>
    <row r="38" spans="3:34" ht="11.25" customHeight="1" x14ac:dyDescent="0.3">
      <c r="C38" s="90"/>
      <c r="D38" s="90"/>
      <c r="E38" s="90"/>
      <c r="F38" s="90"/>
      <c r="G38" s="90"/>
      <c r="H38" s="91"/>
      <c r="I38" s="91"/>
      <c r="J38" s="91"/>
      <c r="K38" s="91"/>
      <c r="L38" s="91"/>
      <c r="M38" s="91"/>
      <c r="N38" s="91"/>
      <c r="O38" s="91"/>
      <c r="P38" s="91"/>
      <c r="Q38" s="91"/>
      <c r="R38" s="91"/>
      <c r="S38" s="91"/>
      <c r="T38" s="91"/>
      <c r="U38" s="91"/>
      <c r="V38" s="91"/>
      <c r="W38" s="91"/>
      <c r="X38" s="91"/>
      <c r="Y38" s="91"/>
      <c r="Z38" s="91"/>
      <c r="AA38" s="91"/>
      <c r="AB38" s="90"/>
      <c r="AF38"/>
      <c r="AG38"/>
      <c r="AH38"/>
    </row>
    <row r="39" spans="3:34" ht="11.25" customHeight="1" x14ac:dyDescent="0.3">
      <c r="C39" s="85" t="s">
        <v>426</v>
      </c>
      <c r="E39" s="81"/>
      <c r="F39" s="81"/>
      <c r="G39" s="81"/>
      <c r="H39" s="194" t="s">
        <v>1</v>
      </c>
      <c r="I39" s="194"/>
      <c r="J39" s="194"/>
      <c r="K39" s="194"/>
      <c r="L39" s="194"/>
      <c r="M39" s="194"/>
      <c r="N39" s="194"/>
      <c r="O39" s="194"/>
      <c r="P39" s="194"/>
      <c r="Q39" s="194"/>
      <c r="R39" s="194"/>
      <c r="S39" s="194"/>
      <c r="T39" s="194"/>
      <c r="U39" s="194"/>
      <c r="V39" s="194"/>
      <c r="W39" s="194"/>
      <c r="X39" s="194"/>
      <c r="Y39" s="194"/>
      <c r="Z39" s="194"/>
      <c r="AA39" s="194"/>
      <c r="AF39"/>
      <c r="AG39"/>
      <c r="AH39"/>
    </row>
    <row r="40" spans="3:34" ht="11.25" customHeight="1" x14ac:dyDescent="0.3">
      <c r="C40" s="85" t="s">
        <v>425</v>
      </c>
      <c r="H40" s="109"/>
      <c r="I40" s="109"/>
      <c r="J40" s="109"/>
      <c r="K40" s="109">
        <v>74</v>
      </c>
      <c r="L40" s="81"/>
      <c r="M40" s="190" t="s">
        <v>424</v>
      </c>
      <c r="N40" s="190"/>
      <c r="O40" s="190"/>
      <c r="P40" s="81"/>
      <c r="Q40" s="108"/>
      <c r="R40" s="191"/>
      <c r="S40" s="191"/>
      <c r="T40" s="107"/>
      <c r="U40" s="107"/>
      <c r="V40" s="107"/>
      <c r="W40" s="107"/>
      <c r="X40" s="107"/>
      <c r="Y40" s="107"/>
      <c r="Z40" s="107"/>
      <c r="AF40"/>
      <c r="AG40"/>
      <c r="AH40"/>
    </row>
    <row r="41" spans="3:34" ht="11.25" customHeight="1" x14ac:dyDescent="0.3">
      <c r="C41" s="85" t="s">
        <v>423</v>
      </c>
      <c r="H41" s="109"/>
      <c r="I41" s="109"/>
      <c r="J41" s="109"/>
      <c r="K41" s="109">
        <v>1336</v>
      </c>
      <c r="L41" s="81"/>
      <c r="M41" s="190" t="s">
        <v>422</v>
      </c>
      <c r="N41" s="190"/>
      <c r="O41" s="190"/>
      <c r="P41" s="81"/>
      <c r="Q41" s="108"/>
      <c r="R41" s="191"/>
      <c r="S41" s="191"/>
      <c r="T41" s="107"/>
      <c r="U41" s="107"/>
      <c r="V41" s="107"/>
      <c r="W41" s="107"/>
      <c r="X41" s="107"/>
      <c r="Y41" s="107"/>
      <c r="Z41" s="107"/>
      <c r="AF41"/>
      <c r="AG41"/>
      <c r="AH41"/>
    </row>
    <row r="42" spans="3:34" ht="11.25" customHeight="1" x14ac:dyDescent="0.3">
      <c r="C42" s="85" t="s">
        <v>421</v>
      </c>
      <c r="H42" s="81"/>
      <c r="I42" s="192" t="s">
        <v>457</v>
      </c>
      <c r="J42" s="193"/>
      <c r="K42" s="193"/>
      <c r="L42" s="81"/>
      <c r="M42" s="194"/>
      <c r="N42" s="194"/>
      <c r="O42" s="194"/>
      <c r="P42" s="194"/>
      <c r="Q42" s="194"/>
      <c r="R42" s="194"/>
      <c r="S42" s="194"/>
      <c r="T42" s="194"/>
      <c r="U42" s="194"/>
      <c r="V42" s="194"/>
      <c r="W42" s="194"/>
      <c r="X42" s="194"/>
      <c r="AF42"/>
      <c r="AG42"/>
      <c r="AH42"/>
    </row>
    <row r="43" spans="3:34" ht="11.25" customHeight="1" x14ac:dyDescent="0.3">
      <c r="C43" s="85" t="s">
        <v>420</v>
      </c>
      <c r="H43" s="81"/>
      <c r="I43" s="194" t="s">
        <v>419</v>
      </c>
      <c r="J43" s="194"/>
      <c r="K43" s="194"/>
      <c r="L43" s="81"/>
      <c r="M43" s="194" t="s">
        <v>418</v>
      </c>
      <c r="N43" s="194"/>
      <c r="O43" s="194"/>
      <c r="P43" s="194"/>
      <c r="Q43" s="194"/>
      <c r="R43" s="194"/>
      <c r="S43" s="194"/>
      <c r="T43" s="194"/>
      <c r="U43" s="194"/>
      <c r="V43" s="194"/>
      <c r="W43" s="194"/>
      <c r="X43" s="194"/>
      <c r="AF43"/>
      <c r="AG43"/>
      <c r="AH43"/>
    </row>
    <row r="44" spans="3:34" ht="11.25" customHeight="1" x14ac:dyDescent="0.3">
      <c r="C44" s="85" t="s">
        <v>417</v>
      </c>
      <c r="H44" s="81"/>
      <c r="I44" s="194" t="s">
        <v>458</v>
      </c>
      <c r="J44" s="194"/>
      <c r="K44" s="194"/>
      <c r="L44" s="81"/>
      <c r="M44" s="194"/>
      <c r="N44" s="194"/>
      <c r="O44" s="194"/>
      <c r="P44" s="194"/>
      <c r="Q44" s="194"/>
      <c r="R44" s="194"/>
      <c r="S44" s="194"/>
      <c r="T44" s="194"/>
      <c r="U44" s="194"/>
      <c r="V44" s="194"/>
      <c r="W44" s="194"/>
      <c r="X44" s="194"/>
      <c r="AF44"/>
      <c r="AG44"/>
      <c r="AH44"/>
    </row>
    <row r="45" spans="3:34" ht="11.25" customHeight="1" x14ac:dyDescent="0.3">
      <c r="C45" s="85" t="s">
        <v>416</v>
      </c>
      <c r="H45" s="81"/>
      <c r="I45" s="194" t="s">
        <v>415</v>
      </c>
      <c r="J45" s="194"/>
      <c r="K45" s="194"/>
      <c r="L45" s="81"/>
      <c r="M45" s="194" t="s">
        <v>456</v>
      </c>
      <c r="N45" s="194"/>
      <c r="O45" s="194"/>
      <c r="P45" s="194"/>
      <c r="Q45" s="194"/>
      <c r="R45" s="194"/>
      <c r="S45" s="194"/>
      <c r="T45" s="194"/>
      <c r="U45" s="194"/>
      <c r="V45" s="194"/>
      <c r="W45" s="194"/>
      <c r="X45" s="194"/>
      <c r="AF45"/>
      <c r="AG45"/>
      <c r="AH45"/>
    </row>
    <row r="46" spans="3:34" ht="11.25" customHeight="1" x14ac:dyDescent="0.3">
      <c r="C46" s="85" t="s">
        <v>414</v>
      </c>
      <c r="H46" s="81"/>
      <c r="I46" s="189">
        <v>46109</v>
      </c>
      <c r="J46" s="173"/>
      <c r="K46" s="173"/>
      <c r="L46" s="173"/>
      <c r="M46" s="173"/>
      <c r="N46" s="173"/>
      <c r="O46" s="173"/>
      <c r="P46" s="173"/>
      <c r="Q46" s="173"/>
      <c r="R46" s="173"/>
      <c r="S46" s="173"/>
      <c r="T46" s="173"/>
      <c r="U46" s="173"/>
      <c r="V46" s="173"/>
      <c r="W46" s="173"/>
      <c r="X46" s="173"/>
      <c r="AF46"/>
      <c r="AG46"/>
      <c r="AH46"/>
    </row>
    <row r="47" spans="3:34" ht="11.25" customHeight="1" x14ac:dyDescent="0.3">
      <c r="C47" s="85"/>
      <c r="H47" s="178"/>
      <c r="I47" s="178"/>
      <c r="J47" s="178"/>
      <c r="K47" s="178"/>
      <c r="L47" s="178"/>
      <c r="M47" s="178"/>
      <c r="N47" s="178"/>
      <c r="O47" s="178"/>
      <c r="P47" s="178"/>
      <c r="Q47" s="178"/>
      <c r="R47" s="178"/>
      <c r="S47" s="178"/>
      <c r="T47" s="178"/>
      <c r="U47" s="178"/>
      <c r="V47" s="178"/>
      <c r="W47" s="178"/>
      <c r="X47" s="178"/>
      <c r="Y47" s="178"/>
      <c r="Z47" s="178"/>
      <c r="AA47" s="178"/>
      <c r="AF47"/>
      <c r="AG47"/>
      <c r="AH47"/>
    </row>
    <row r="48" spans="3:34" ht="11.25" customHeight="1" x14ac:dyDescent="0.3">
      <c r="C48" s="87"/>
      <c r="D48" s="87"/>
      <c r="E48" s="87"/>
      <c r="F48" s="87"/>
      <c r="G48" s="87"/>
      <c r="H48" s="195"/>
      <c r="I48" s="195"/>
      <c r="J48" s="195"/>
      <c r="K48" s="195"/>
      <c r="L48" s="195"/>
      <c r="M48" s="195"/>
      <c r="N48" s="195"/>
      <c r="O48" s="195"/>
      <c r="P48" s="195"/>
      <c r="Q48" s="195"/>
      <c r="R48" s="195"/>
      <c r="S48" s="195"/>
      <c r="T48" s="195"/>
      <c r="U48" s="195"/>
      <c r="V48" s="195"/>
      <c r="W48" s="195"/>
      <c r="X48" s="195"/>
      <c r="Y48" s="195"/>
      <c r="Z48" s="195"/>
      <c r="AA48" s="195"/>
      <c r="AF48"/>
      <c r="AG48"/>
      <c r="AH48"/>
    </row>
    <row r="49" spans="2:34" ht="11.25" customHeight="1" x14ac:dyDescent="0.3">
      <c r="C49" s="85"/>
      <c r="F49" s="90"/>
      <c r="G49" s="90"/>
      <c r="H49" s="92"/>
      <c r="I49" s="92"/>
      <c r="J49" s="92"/>
      <c r="K49" s="105"/>
      <c r="L49" s="85" t="s">
        <v>413</v>
      </c>
      <c r="M49" s="85"/>
      <c r="P49" s="79" t="s">
        <v>407</v>
      </c>
      <c r="Q49" s="104" t="s">
        <v>25</v>
      </c>
      <c r="R49" s="188" t="str">
        <f>'Shipment Base '!D12</f>
        <v>CI-250226/04-01</v>
      </c>
      <c r="S49" s="188"/>
      <c r="T49" s="188"/>
      <c r="U49" s="188"/>
      <c r="V49" s="188"/>
      <c r="W49" s="188"/>
      <c r="X49" s="188"/>
      <c r="Y49" s="188"/>
      <c r="Z49" s="188"/>
      <c r="AA49" s="188"/>
      <c r="AB49" s="90"/>
      <c r="AF49"/>
      <c r="AG49"/>
      <c r="AH49"/>
    </row>
    <row r="50" spans="2:34" ht="11.25" customHeight="1" x14ac:dyDescent="0.3">
      <c r="C50" s="89">
        <v>1</v>
      </c>
      <c r="D50" s="173" t="s">
        <v>1</v>
      </c>
      <c r="E50" s="173"/>
      <c r="F50" s="174" t="s">
        <v>1</v>
      </c>
      <c r="G50" s="174"/>
      <c r="H50" s="174"/>
      <c r="I50" s="174"/>
      <c r="J50" s="174"/>
      <c r="K50" s="184"/>
      <c r="L50" s="85"/>
      <c r="M50" s="85"/>
      <c r="S50" s="173" t="s">
        <v>1</v>
      </c>
      <c r="T50" s="173"/>
      <c r="U50" s="173"/>
      <c r="V50" s="173"/>
      <c r="W50" s="173"/>
      <c r="X50" s="173"/>
      <c r="Y50" s="173"/>
      <c r="Z50" s="173"/>
      <c r="AA50" s="173"/>
      <c r="AF50"/>
      <c r="AG50"/>
      <c r="AH50"/>
    </row>
    <row r="51" spans="2:34" ht="11.25" customHeight="1" x14ac:dyDescent="0.3">
      <c r="C51" s="89">
        <v>2</v>
      </c>
      <c r="D51" s="173" t="s">
        <v>1</v>
      </c>
      <c r="E51" s="173"/>
      <c r="F51" s="174" t="s">
        <v>1</v>
      </c>
      <c r="G51" s="174"/>
      <c r="H51" s="174"/>
      <c r="I51" s="174"/>
      <c r="J51" s="174"/>
      <c r="K51" s="184"/>
      <c r="L51" s="85" t="s">
        <v>412</v>
      </c>
      <c r="M51" s="85"/>
      <c r="S51" s="189">
        <f>'Shipment Base '!F12</f>
        <v>46101</v>
      </c>
      <c r="T51" s="189"/>
      <c r="U51" s="189"/>
      <c r="V51" s="189"/>
      <c r="W51" s="189"/>
      <c r="X51" s="189"/>
      <c r="Y51" s="189"/>
      <c r="Z51" s="189"/>
      <c r="AA51" s="189"/>
      <c r="AF51"/>
      <c r="AG51"/>
      <c r="AH51"/>
    </row>
    <row r="52" spans="2:34" ht="11.25" customHeight="1" x14ac:dyDescent="0.3">
      <c r="C52" s="89">
        <v>3</v>
      </c>
      <c r="D52" s="173" t="s">
        <v>1</v>
      </c>
      <c r="E52" s="173"/>
      <c r="F52" s="174" t="s">
        <v>1</v>
      </c>
      <c r="G52" s="174"/>
      <c r="H52" s="174"/>
      <c r="I52" s="174"/>
      <c r="J52" s="174"/>
      <c r="K52" s="184"/>
      <c r="L52" s="85" t="s">
        <v>411</v>
      </c>
      <c r="M52" s="85"/>
      <c r="S52" s="173"/>
      <c r="T52" s="173"/>
      <c r="U52" s="173"/>
      <c r="V52" s="173"/>
      <c r="W52" s="173"/>
      <c r="X52" s="173"/>
      <c r="Y52" s="173"/>
      <c r="Z52" s="173"/>
      <c r="AA52" s="173"/>
      <c r="AF52"/>
      <c r="AG52"/>
      <c r="AH52"/>
    </row>
    <row r="53" spans="2:34" ht="11.25" customHeight="1" x14ac:dyDescent="0.3">
      <c r="C53" s="89">
        <v>4</v>
      </c>
      <c r="D53" s="173" t="s">
        <v>1</v>
      </c>
      <c r="E53" s="173"/>
      <c r="F53" s="174" t="s">
        <v>1</v>
      </c>
      <c r="G53" s="174"/>
      <c r="H53" s="174"/>
      <c r="I53" s="174"/>
      <c r="J53" s="174"/>
      <c r="K53" s="184"/>
      <c r="L53" s="96" t="s">
        <v>311</v>
      </c>
      <c r="M53" s="85"/>
      <c r="P53" s="81"/>
      <c r="Q53" s="173" t="s">
        <v>410</v>
      </c>
      <c r="R53" s="173"/>
      <c r="S53" s="173"/>
      <c r="T53" s="86" t="s">
        <v>25</v>
      </c>
      <c r="U53" s="81"/>
      <c r="V53" s="81"/>
      <c r="W53" s="81"/>
      <c r="X53" s="81"/>
      <c r="Y53" s="102">
        <v>11121.7</v>
      </c>
      <c r="Z53" s="86" t="s">
        <v>25</v>
      </c>
      <c r="AA53" s="83" t="s">
        <v>407</v>
      </c>
      <c r="AF53"/>
      <c r="AG53"/>
      <c r="AH53"/>
    </row>
    <row r="54" spans="2:34" ht="11.25" customHeight="1" x14ac:dyDescent="0.3">
      <c r="C54" s="89">
        <v>5</v>
      </c>
      <c r="D54" s="173" t="s">
        <v>1</v>
      </c>
      <c r="E54" s="173"/>
      <c r="F54" s="174" t="s">
        <v>1</v>
      </c>
      <c r="G54" s="174"/>
      <c r="H54" s="174"/>
      <c r="I54" s="174"/>
      <c r="J54" s="174"/>
      <c r="K54" s="184"/>
      <c r="L54" s="85" t="s">
        <v>408</v>
      </c>
      <c r="M54" s="85"/>
      <c r="S54" s="79" t="s">
        <v>1</v>
      </c>
      <c r="T54" s="86" t="s">
        <v>25</v>
      </c>
      <c r="U54" s="179"/>
      <c r="V54" s="179"/>
      <c r="W54" s="179"/>
      <c r="X54" s="179"/>
      <c r="Y54" s="179"/>
      <c r="Z54" s="81"/>
      <c r="AA54" s="81"/>
      <c r="AF54"/>
      <c r="AG54"/>
      <c r="AH54"/>
    </row>
    <row r="55" spans="2:34" ht="11.25" customHeight="1" x14ac:dyDescent="0.3">
      <c r="G55" s="81"/>
      <c r="H55" s="81"/>
      <c r="I55" s="81"/>
      <c r="J55" s="81"/>
      <c r="K55" s="101"/>
      <c r="L55" s="96" t="s">
        <v>409</v>
      </c>
      <c r="M55" s="85"/>
      <c r="P55" s="81"/>
      <c r="Q55" s="174" t="s">
        <v>176</v>
      </c>
      <c r="R55" s="174"/>
      <c r="S55" s="179">
        <v>22.695</v>
      </c>
      <c r="T55" s="179"/>
      <c r="U55" s="179"/>
      <c r="V55" s="179"/>
      <c r="W55" s="81"/>
      <c r="X55" s="86" t="s">
        <v>25</v>
      </c>
      <c r="Y55" s="179"/>
      <c r="Z55" s="179"/>
      <c r="AA55" s="179"/>
      <c r="AF55"/>
      <c r="AG55"/>
      <c r="AH55"/>
    </row>
    <row r="56" spans="2:34" ht="11.25" customHeight="1" x14ac:dyDescent="0.3">
      <c r="G56" s="81"/>
      <c r="H56" s="81"/>
      <c r="I56" s="81"/>
      <c r="J56" s="81"/>
      <c r="K56" s="101"/>
      <c r="L56" s="85" t="s">
        <v>408</v>
      </c>
      <c r="M56" s="85"/>
      <c r="R56" s="185">
        <f t="shared" ref="R56" si="0">Y53</f>
        <v>11121.7</v>
      </c>
      <c r="S56" s="179"/>
      <c r="T56" s="179"/>
      <c r="U56" s="179"/>
      <c r="V56" s="179"/>
      <c r="W56" s="179"/>
      <c r="X56" s="179"/>
      <c r="Y56" s="179"/>
      <c r="Z56" s="86" t="s">
        <v>25</v>
      </c>
      <c r="AA56" s="81" t="s">
        <v>1</v>
      </c>
      <c r="AF56"/>
      <c r="AG56"/>
      <c r="AH56"/>
    </row>
    <row r="57" spans="2:34" s="82" customFormat="1" ht="11.25" customHeight="1" x14ac:dyDescent="0.3">
      <c r="C57" s="100"/>
      <c r="D57" s="103"/>
      <c r="E57" s="103"/>
      <c r="F57" s="103"/>
      <c r="G57" s="103"/>
      <c r="H57" s="186"/>
      <c r="I57" s="186"/>
      <c r="J57" s="187"/>
      <c r="K57" s="187"/>
      <c r="L57" s="187"/>
      <c r="M57" s="92"/>
      <c r="N57" s="186"/>
      <c r="O57" s="186"/>
      <c r="P57" s="100"/>
      <c r="Q57" s="103"/>
      <c r="R57" s="103"/>
      <c r="S57" s="103"/>
      <c r="T57" s="103"/>
      <c r="U57" s="103"/>
      <c r="V57" s="186"/>
      <c r="W57" s="186"/>
      <c r="X57" s="99"/>
      <c r="Y57" s="92"/>
      <c r="Z57" s="186" t="s">
        <v>407</v>
      </c>
      <c r="AA57" s="186"/>
      <c r="AB57" s="103"/>
      <c r="AF57" s="232"/>
      <c r="AG57" s="232"/>
      <c r="AH57" s="232"/>
    </row>
    <row r="58" spans="2:34" s="82" customFormat="1" ht="11.25" customHeight="1" x14ac:dyDescent="0.3">
      <c r="B58" s="106"/>
      <c r="C58" s="175" t="s">
        <v>406</v>
      </c>
      <c r="D58" s="175"/>
      <c r="E58" s="175"/>
      <c r="F58" s="181" t="s">
        <v>459</v>
      </c>
      <c r="G58" s="182"/>
      <c r="H58" s="182"/>
      <c r="I58" s="182"/>
      <c r="J58" s="182"/>
      <c r="K58" s="182"/>
      <c r="L58" s="88" t="s">
        <v>405</v>
      </c>
      <c r="M58" s="97"/>
      <c r="P58" s="173" t="s">
        <v>460</v>
      </c>
      <c r="Q58" s="173"/>
      <c r="R58" s="173"/>
      <c r="S58" s="177" t="s">
        <v>404</v>
      </c>
      <c r="T58" s="177"/>
      <c r="U58" s="177"/>
      <c r="V58" s="177"/>
      <c r="W58" s="177"/>
      <c r="X58" s="177"/>
      <c r="AA58" s="82" t="s">
        <v>403</v>
      </c>
      <c r="AB58" s="106"/>
      <c r="AC58" s="106"/>
      <c r="AF58" s="232"/>
      <c r="AG58" s="232"/>
      <c r="AH58" s="232"/>
    </row>
    <row r="59" spans="2:34" s="82" customFormat="1" ht="11.25" customHeight="1" x14ac:dyDescent="0.3">
      <c r="B59" s="106"/>
      <c r="C59" s="183" t="s">
        <v>402</v>
      </c>
      <c r="D59" s="183"/>
      <c r="E59" s="183"/>
      <c r="F59" s="176" t="s">
        <v>461</v>
      </c>
      <c r="G59" s="176"/>
      <c r="H59" s="176"/>
      <c r="I59" s="176"/>
      <c r="J59" s="176"/>
      <c r="K59" s="176"/>
      <c r="L59" s="176"/>
      <c r="M59" s="176"/>
      <c r="N59" s="176"/>
      <c r="O59" s="176"/>
      <c r="P59" s="176"/>
      <c r="Q59" s="176"/>
      <c r="R59" s="176"/>
      <c r="S59" s="176"/>
      <c r="T59" s="176"/>
      <c r="U59" s="176"/>
      <c r="V59" s="176"/>
      <c r="W59" s="176"/>
      <c r="X59" s="176"/>
      <c r="Y59" s="176"/>
      <c r="Z59" s="176"/>
      <c r="AA59" s="176"/>
      <c r="AB59" s="106"/>
      <c r="AC59" s="106"/>
      <c r="AF59" s="232"/>
      <c r="AG59" s="232"/>
      <c r="AH59" s="232"/>
    </row>
    <row r="60" spans="2:34" s="82" customFormat="1" ht="11.25" customHeight="1" x14ac:dyDescent="0.3">
      <c r="B60" s="106"/>
      <c r="C60" s="183"/>
      <c r="D60" s="183"/>
      <c r="E60" s="183"/>
      <c r="F60" s="176"/>
      <c r="G60" s="176"/>
      <c r="H60" s="176"/>
      <c r="I60" s="176"/>
      <c r="J60" s="176"/>
      <c r="K60" s="176"/>
      <c r="L60" s="176"/>
      <c r="M60" s="176"/>
      <c r="N60" s="176"/>
      <c r="O60" s="176"/>
      <c r="P60" s="176"/>
      <c r="Q60" s="176"/>
      <c r="R60" s="176"/>
      <c r="S60" s="176"/>
      <c r="T60" s="176"/>
      <c r="U60" s="176"/>
      <c r="V60" s="176"/>
      <c r="W60" s="176"/>
      <c r="X60" s="176"/>
      <c r="Y60" s="176"/>
      <c r="Z60" s="176"/>
      <c r="AA60" s="176"/>
      <c r="AB60" s="106"/>
      <c r="AC60" s="106"/>
      <c r="AF60" s="232"/>
      <c r="AG60" s="232"/>
      <c r="AH60" s="232"/>
    </row>
    <row r="61" spans="2:34" s="82" customFormat="1" ht="11.25" customHeight="1" x14ac:dyDescent="0.3">
      <c r="B61" s="106"/>
      <c r="C61" s="183"/>
      <c r="D61" s="183"/>
      <c r="E61" s="183"/>
      <c r="F61" s="176"/>
      <c r="G61" s="176"/>
      <c r="H61" s="176"/>
      <c r="I61" s="176"/>
      <c r="J61" s="176"/>
      <c r="K61" s="176"/>
      <c r="L61" s="176"/>
      <c r="M61" s="176"/>
      <c r="N61" s="176"/>
      <c r="O61" s="176"/>
      <c r="P61" s="176"/>
      <c r="Q61" s="176"/>
      <c r="R61" s="176"/>
      <c r="S61" s="176"/>
      <c r="T61" s="176"/>
      <c r="U61" s="176"/>
      <c r="V61" s="176"/>
      <c r="W61" s="176"/>
      <c r="X61" s="176"/>
      <c r="Y61" s="176"/>
      <c r="Z61" s="176"/>
      <c r="AA61" s="176"/>
      <c r="AB61" s="106"/>
      <c r="AC61" s="106"/>
      <c r="AF61" s="232"/>
      <c r="AG61" s="232"/>
      <c r="AH61" s="232"/>
    </row>
    <row r="62" spans="2:34" s="82" customFormat="1" ht="11.25" customHeight="1" x14ac:dyDescent="0.3">
      <c r="B62" s="106"/>
      <c r="O62" s="88" t="s">
        <v>401</v>
      </c>
      <c r="Q62" s="106"/>
      <c r="R62" s="106"/>
      <c r="S62" s="106"/>
      <c r="T62" s="106"/>
      <c r="U62" s="106"/>
      <c r="V62" s="106"/>
      <c r="W62" s="106" t="s">
        <v>464</v>
      </c>
      <c r="Y62" s="82" t="s">
        <v>400</v>
      </c>
      <c r="AB62" s="106"/>
      <c r="AC62" s="106"/>
      <c r="AF62" s="232"/>
      <c r="AG62" s="232"/>
      <c r="AH62" s="232"/>
    </row>
    <row r="63" spans="2:34" s="82" customFormat="1" ht="11.25" customHeight="1" x14ac:dyDescent="0.3">
      <c r="B63" s="106"/>
      <c r="O63" s="88" t="s">
        <v>399</v>
      </c>
      <c r="P63" s="82" t="s">
        <v>398</v>
      </c>
      <c r="Q63" s="179"/>
      <c r="R63" s="179"/>
      <c r="S63" s="179"/>
      <c r="T63" s="179"/>
      <c r="U63" s="179"/>
      <c r="V63" s="179"/>
      <c r="W63" s="179"/>
      <c r="Y63" s="82" t="s">
        <v>1</v>
      </c>
      <c r="AB63" s="106"/>
      <c r="AC63" s="106"/>
      <c r="AF63" s="232"/>
      <c r="AG63" s="232"/>
      <c r="AH63" s="232"/>
    </row>
    <row r="64" spans="2:34" s="82" customFormat="1" ht="11.25" customHeight="1" x14ac:dyDescent="0.3">
      <c r="M64" s="106"/>
      <c r="N64" s="106"/>
      <c r="O64" s="96" t="s">
        <v>397</v>
      </c>
      <c r="P64" s="106"/>
      <c r="Q64" s="106"/>
      <c r="R64" s="106"/>
      <c r="S64" s="106"/>
      <c r="T64" s="180" t="s">
        <v>396</v>
      </c>
      <c r="U64" s="180"/>
      <c r="V64" s="95"/>
      <c r="W64" s="94"/>
      <c r="X64" s="94"/>
      <c r="Y64" s="94"/>
      <c r="Z64" s="93" t="s">
        <v>395</v>
      </c>
      <c r="AA64" s="93"/>
      <c r="AF64" s="232"/>
      <c r="AG64" s="232"/>
      <c r="AH64" s="232"/>
    </row>
    <row r="65" spans="2:34" s="82" customFormat="1" ht="11.25" customHeight="1" x14ac:dyDescent="0.3">
      <c r="C65" s="100"/>
      <c r="D65" s="103"/>
      <c r="E65" s="103"/>
      <c r="F65" s="103"/>
      <c r="G65" s="103"/>
      <c r="H65" s="186"/>
      <c r="I65" s="186"/>
      <c r="J65" s="187"/>
      <c r="K65" s="187"/>
      <c r="L65" s="187"/>
      <c r="M65" s="92"/>
      <c r="N65" s="186"/>
      <c r="O65" s="186"/>
      <c r="P65" s="100"/>
      <c r="Q65" s="103"/>
      <c r="R65" s="103"/>
      <c r="S65" s="103"/>
      <c r="T65" s="103"/>
      <c r="U65" s="103"/>
      <c r="V65" s="186"/>
      <c r="W65" s="186"/>
      <c r="X65" s="99"/>
      <c r="Y65" s="92"/>
      <c r="Z65" s="186" t="s">
        <v>407</v>
      </c>
      <c r="AA65" s="186"/>
      <c r="AB65" s="103"/>
      <c r="AF65" s="232"/>
      <c r="AG65" s="232"/>
      <c r="AH65" s="232"/>
    </row>
    <row r="66" spans="2:34" s="82" customFormat="1" ht="11.25" customHeight="1" x14ac:dyDescent="0.3">
      <c r="B66" s="106"/>
      <c r="C66" s="175" t="s">
        <v>406</v>
      </c>
      <c r="D66" s="175"/>
      <c r="E66" s="175"/>
      <c r="F66" s="181" t="s">
        <v>462</v>
      </c>
      <c r="G66" s="182"/>
      <c r="H66" s="182"/>
      <c r="I66" s="182"/>
      <c r="J66" s="182"/>
      <c r="K66" s="182"/>
      <c r="L66" s="88" t="s">
        <v>405</v>
      </c>
      <c r="M66" s="97"/>
      <c r="P66" s="173" t="s">
        <v>460</v>
      </c>
      <c r="Q66" s="173"/>
      <c r="R66" s="173"/>
      <c r="S66" s="177" t="s">
        <v>404</v>
      </c>
      <c r="T66" s="177"/>
      <c r="U66" s="177"/>
      <c r="V66" s="177"/>
      <c r="W66" s="177"/>
      <c r="X66" s="177"/>
      <c r="AA66" s="82" t="s">
        <v>403</v>
      </c>
      <c r="AB66" s="106"/>
      <c r="AC66" s="106"/>
      <c r="AF66" s="232"/>
      <c r="AG66" s="232"/>
      <c r="AH66" s="232"/>
    </row>
    <row r="67" spans="2:34" s="82" customFormat="1" ht="11.25" customHeight="1" x14ac:dyDescent="0.3">
      <c r="B67" s="106"/>
      <c r="C67" s="183" t="s">
        <v>402</v>
      </c>
      <c r="D67" s="183"/>
      <c r="E67" s="183"/>
      <c r="F67" s="176" t="s">
        <v>463</v>
      </c>
      <c r="G67" s="176"/>
      <c r="H67" s="176"/>
      <c r="I67" s="176"/>
      <c r="J67" s="176"/>
      <c r="K67" s="176"/>
      <c r="L67" s="176"/>
      <c r="M67" s="176"/>
      <c r="N67" s="176"/>
      <c r="O67" s="176"/>
      <c r="P67" s="176"/>
      <c r="Q67" s="176"/>
      <c r="R67" s="176"/>
      <c r="S67" s="176"/>
      <c r="T67" s="176"/>
      <c r="U67" s="176"/>
      <c r="V67" s="176"/>
      <c r="W67" s="176"/>
      <c r="X67" s="176"/>
      <c r="Y67" s="176"/>
      <c r="Z67" s="176"/>
      <c r="AA67" s="176"/>
      <c r="AB67" s="106"/>
      <c r="AC67" s="106"/>
      <c r="AF67" s="232"/>
      <c r="AG67" s="232"/>
      <c r="AH67" s="232"/>
    </row>
    <row r="68" spans="2:34" s="82" customFormat="1" ht="11.25" customHeight="1" x14ac:dyDescent="0.3">
      <c r="B68" s="106"/>
      <c r="C68" s="183"/>
      <c r="D68" s="183"/>
      <c r="E68" s="183"/>
      <c r="F68" s="176"/>
      <c r="G68" s="176"/>
      <c r="H68" s="176"/>
      <c r="I68" s="176"/>
      <c r="J68" s="176"/>
      <c r="K68" s="176"/>
      <c r="L68" s="176"/>
      <c r="M68" s="176"/>
      <c r="N68" s="176"/>
      <c r="O68" s="176"/>
      <c r="P68" s="176"/>
      <c r="Q68" s="176"/>
      <c r="R68" s="176"/>
      <c r="S68" s="176"/>
      <c r="T68" s="176"/>
      <c r="U68" s="176"/>
      <c r="V68" s="176"/>
      <c r="W68" s="176"/>
      <c r="X68" s="176"/>
      <c r="Y68" s="176"/>
      <c r="Z68" s="176"/>
      <c r="AA68" s="176"/>
      <c r="AB68" s="106"/>
      <c r="AC68" s="106"/>
      <c r="AF68" s="232"/>
      <c r="AG68" s="232"/>
      <c r="AH68" s="232"/>
    </row>
    <row r="69" spans="2:34" s="82" customFormat="1" ht="11.25" customHeight="1" x14ac:dyDescent="0.3">
      <c r="B69" s="106"/>
      <c r="C69" s="183"/>
      <c r="D69" s="183"/>
      <c r="E69" s="183"/>
      <c r="F69" s="176"/>
      <c r="G69" s="176"/>
      <c r="H69" s="176"/>
      <c r="I69" s="176"/>
      <c r="J69" s="176"/>
      <c r="K69" s="176"/>
      <c r="L69" s="176"/>
      <c r="M69" s="176"/>
      <c r="N69" s="176"/>
      <c r="O69" s="176"/>
      <c r="P69" s="176"/>
      <c r="Q69" s="176"/>
      <c r="R69" s="176"/>
      <c r="S69" s="176"/>
      <c r="T69" s="176"/>
      <c r="U69" s="176"/>
      <c r="V69" s="176"/>
      <c r="W69" s="176"/>
      <c r="X69" s="176"/>
      <c r="Y69" s="176"/>
      <c r="Z69" s="176"/>
      <c r="AA69" s="176"/>
      <c r="AB69" s="106"/>
      <c r="AC69" s="106"/>
      <c r="AF69" s="232"/>
      <c r="AG69" s="232"/>
      <c r="AH69" s="232"/>
    </row>
    <row r="70" spans="2:34" s="82" customFormat="1" ht="11.25" customHeight="1" x14ac:dyDescent="0.3">
      <c r="B70" s="106"/>
      <c r="O70" s="88" t="s">
        <v>401</v>
      </c>
      <c r="Q70" s="106"/>
      <c r="R70" s="106"/>
      <c r="S70" s="106"/>
      <c r="T70" s="106"/>
      <c r="U70" s="106"/>
      <c r="V70" s="106"/>
      <c r="W70" s="106" t="s">
        <v>465</v>
      </c>
      <c r="Y70" s="82" t="s">
        <v>400</v>
      </c>
      <c r="AB70" s="106"/>
      <c r="AC70" s="106"/>
      <c r="AF70" s="232"/>
      <c r="AG70" s="232"/>
      <c r="AH70" s="232"/>
    </row>
    <row r="71" spans="2:34" s="82" customFormat="1" ht="11.25" customHeight="1" x14ac:dyDescent="0.3">
      <c r="B71" s="106"/>
      <c r="O71" s="88" t="s">
        <v>399</v>
      </c>
      <c r="P71" s="82" t="s">
        <v>398</v>
      </c>
      <c r="Q71" s="179"/>
      <c r="R71" s="179"/>
      <c r="S71" s="179"/>
      <c r="T71" s="179"/>
      <c r="U71" s="179"/>
      <c r="V71" s="179"/>
      <c r="W71" s="179"/>
      <c r="Y71" s="82" t="s">
        <v>1</v>
      </c>
      <c r="AB71" s="106"/>
      <c r="AC71" s="106"/>
      <c r="AF71" s="232"/>
      <c r="AG71" s="232"/>
      <c r="AH71" s="232"/>
    </row>
    <row r="72" spans="2:34" s="82" customFormat="1" ht="11.25" customHeight="1" x14ac:dyDescent="0.3">
      <c r="M72" s="106"/>
      <c r="N72" s="106"/>
      <c r="O72" s="96" t="s">
        <v>397</v>
      </c>
      <c r="P72" s="106"/>
      <c r="Q72" s="106"/>
      <c r="R72" s="106"/>
      <c r="S72" s="106"/>
      <c r="T72" s="180" t="s">
        <v>396</v>
      </c>
      <c r="U72" s="180"/>
      <c r="V72" s="95"/>
      <c r="W72" s="94"/>
      <c r="X72" s="94"/>
      <c r="Y72" s="94"/>
      <c r="Z72" s="93" t="s">
        <v>395</v>
      </c>
      <c r="AA72" s="93"/>
      <c r="AF72" s="232"/>
      <c r="AG72" s="232"/>
      <c r="AH72" s="232"/>
    </row>
    <row r="73" spans="2:34" s="82" customFormat="1" ht="11.25" customHeight="1" x14ac:dyDescent="0.3">
      <c r="C73" s="103"/>
      <c r="D73" s="103"/>
      <c r="E73" s="103"/>
      <c r="F73" s="103"/>
      <c r="G73" s="103"/>
      <c r="H73" s="103"/>
      <c r="I73" s="103"/>
      <c r="J73" s="103"/>
      <c r="K73" s="103"/>
      <c r="L73" s="103"/>
      <c r="M73" s="92"/>
      <c r="N73" s="92"/>
      <c r="O73" s="92"/>
      <c r="P73" s="92"/>
      <c r="Q73" s="92"/>
      <c r="R73" s="92"/>
      <c r="S73" s="92"/>
      <c r="T73" s="98"/>
      <c r="U73" s="98"/>
      <c r="V73" s="92"/>
      <c r="W73" s="92"/>
      <c r="X73" s="103"/>
      <c r="Y73" s="92"/>
      <c r="Z73" s="98"/>
      <c r="AA73" s="98"/>
      <c r="AB73" s="103"/>
      <c r="AF73" s="232"/>
      <c r="AG73" s="232"/>
      <c r="AH73" s="232"/>
    </row>
    <row r="74" spans="2:34" s="82" customFormat="1" ht="11.25" customHeight="1" x14ac:dyDescent="0.3">
      <c r="C74" s="175" t="s">
        <v>394</v>
      </c>
      <c r="D74" s="175"/>
      <c r="E74" s="175"/>
      <c r="F74" s="175"/>
      <c r="G74" s="175"/>
      <c r="H74" s="89">
        <v>1</v>
      </c>
      <c r="I74" s="84" t="s">
        <v>1</v>
      </c>
      <c r="J74" s="86" t="s">
        <v>25</v>
      </c>
      <c r="K74" s="174" t="s">
        <v>1</v>
      </c>
      <c r="L74" s="174"/>
      <c r="M74" s="174"/>
      <c r="N74" s="174"/>
      <c r="O74" s="89">
        <v>2</v>
      </c>
      <c r="P74" s="106" t="s">
        <v>1</v>
      </c>
      <c r="Q74" s="86" t="s">
        <v>25</v>
      </c>
      <c r="R74" s="174" t="s">
        <v>1</v>
      </c>
      <c r="S74" s="174"/>
      <c r="T74" s="174"/>
      <c r="U74" s="174"/>
      <c r="V74" s="89">
        <v>3</v>
      </c>
      <c r="W74" s="106"/>
      <c r="X74" s="86" t="s">
        <v>25</v>
      </c>
      <c r="Y74" s="173"/>
      <c r="Z74" s="173"/>
      <c r="AA74" s="173"/>
      <c r="AF74" s="232"/>
      <c r="AG74" s="232"/>
      <c r="AH74" s="232"/>
    </row>
    <row r="75" spans="2:34" s="82" customFormat="1" ht="11.25" customHeight="1" x14ac:dyDescent="0.3">
      <c r="C75" s="88" t="s">
        <v>393</v>
      </c>
      <c r="F75" s="178"/>
      <c r="G75" s="178"/>
      <c r="H75" s="178"/>
      <c r="I75" s="178"/>
      <c r="J75" s="178"/>
      <c r="K75" s="178"/>
      <c r="L75" s="178"/>
      <c r="M75" s="178"/>
      <c r="N75" s="178"/>
      <c r="O75" s="178"/>
      <c r="P75" s="178"/>
      <c r="Q75" s="178"/>
      <c r="R75" s="178"/>
      <c r="S75" s="178"/>
      <c r="T75" s="178"/>
      <c r="U75" s="178"/>
      <c r="V75" s="178"/>
      <c r="W75" s="178"/>
      <c r="X75" s="178"/>
      <c r="AF75" s="232"/>
      <c r="AG75" s="232"/>
      <c r="AH75" s="232"/>
    </row>
    <row r="76" spans="2:34" s="82" customFormat="1" ht="11.25" customHeight="1" x14ac:dyDescent="0.3">
      <c r="F76" s="178"/>
      <c r="G76" s="178"/>
      <c r="H76" s="178"/>
      <c r="I76" s="178"/>
      <c r="J76" s="178"/>
      <c r="K76" s="178"/>
      <c r="L76" s="178"/>
      <c r="M76" s="178"/>
      <c r="N76" s="178"/>
      <c r="O76" s="178"/>
      <c r="P76" s="178"/>
      <c r="Q76" s="178"/>
      <c r="R76" s="178"/>
      <c r="S76" s="178"/>
      <c r="T76" s="178"/>
      <c r="U76" s="178"/>
      <c r="V76" s="178"/>
      <c r="W76" s="178"/>
      <c r="X76" s="178"/>
      <c r="AF76" s="232"/>
      <c r="AG76" s="232"/>
      <c r="AH76" s="232"/>
    </row>
    <row r="77" spans="2:34" s="82" customFormat="1" ht="6.75" customHeight="1" x14ac:dyDescent="0.3">
      <c r="K77" s="84"/>
      <c r="L77" s="84"/>
      <c r="M77" s="84"/>
      <c r="N77" s="84"/>
      <c r="O77" s="84"/>
      <c r="P77" s="84"/>
      <c r="AF77" s="232"/>
      <c r="AG77" s="232"/>
      <c r="AH77" s="232"/>
    </row>
    <row r="78" spans="2:34" s="82" customFormat="1" ht="11.25" customHeight="1" x14ac:dyDescent="0.3">
      <c r="B78" s="106"/>
      <c r="C78" s="106"/>
      <c r="D78" s="106"/>
      <c r="E78" s="106"/>
      <c r="F78" s="106"/>
      <c r="G78" s="173"/>
      <c r="H78" s="173"/>
      <c r="I78" s="173"/>
      <c r="J78" s="173"/>
      <c r="K78" s="173"/>
      <c r="L78" s="173"/>
      <c r="M78" s="173"/>
      <c r="N78" s="173"/>
      <c r="O78" s="173"/>
      <c r="P78" s="173"/>
      <c r="Q78" s="173"/>
      <c r="R78" s="173"/>
      <c r="S78" s="173"/>
      <c r="T78" s="173"/>
      <c r="U78" s="173"/>
      <c r="V78" s="173"/>
      <c r="W78" s="173"/>
      <c r="X78" s="173"/>
      <c r="Y78" s="173"/>
      <c r="Z78" s="173"/>
      <c r="AA78" s="173"/>
      <c r="AB78" s="106"/>
      <c r="AC78" s="106"/>
      <c r="AF78" s="232"/>
      <c r="AG78" s="232"/>
      <c r="AH78" s="232"/>
    </row>
    <row r="79" spans="2:34" s="82" customFormat="1" ht="14.4" x14ac:dyDescent="0.3">
      <c r="AF79" s="232"/>
      <c r="AG79" s="232"/>
      <c r="AH79" s="232"/>
    </row>
    <row r="80" spans="2:34" s="82" customFormat="1" ht="14.4" x14ac:dyDescent="0.3">
      <c r="AF80" s="232"/>
      <c r="AG80" s="232"/>
      <c r="AH80" s="232"/>
    </row>
    <row r="81" spans="2:34" s="82" customFormat="1" ht="14.4" x14ac:dyDescent="0.3">
      <c r="AF81" s="232"/>
      <c r="AG81" s="232"/>
      <c r="AH81" s="232"/>
    </row>
    <row r="82" spans="2:34" s="82" customFormat="1" ht="14.4" x14ac:dyDescent="0.3">
      <c r="AF82" s="232"/>
      <c r="AG82" s="232"/>
      <c r="AH82" s="232"/>
    </row>
    <row r="83" spans="2:34" s="82" customFormat="1" ht="11.25" customHeight="1" x14ac:dyDescent="0.3">
      <c r="K83" s="84"/>
      <c r="L83" s="84"/>
      <c r="M83" s="84"/>
      <c r="N83" s="84"/>
      <c r="O83" s="84"/>
      <c r="P83" s="84"/>
      <c r="AF83" s="232"/>
      <c r="AG83" s="232"/>
      <c r="AH83" s="232"/>
    </row>
    <row r="84" spans="2:34" s="82" customFormat="1" ht="6.75" customHeight="1" x14ac:dyDescent="0.3">
      <c r="K84" s="84"/>
      <c r="L84" s="84"/>
      <c r="M84" s="84"/>
      <c r="N84" s="84"/>
      <c r="O84" s="84"/>
      <c r="P84" s="84"/>
      <c r="AF84" s="232"/>
      <c r="AG84" s="232"/>
      <c r="AH84" s="232"/>
    </row>
    <row r="85" spans="2:34" s="82" customFormat="1" ht="11.25" customHeight="1" x14ac:dyDescent="0.3">
      <c r="B85" s="106"/>
      <c r="C85" s="106"/>
      <c r="D85" s="106"/>
      <c r="E85" s="106"/>
      <c r="F85" s="106"/>
      <c r="G85" s="173"/>
      <c r="H85" s="173"/>
      <c r="I85" s="173"/>
      <c r="J85" s="173"/>
      <c r="K85" s="173"/>
      <c r="L85" s="173"/>
      <c r="M85" s="173"/>
      <c r="N85" s="173"/>
      <c r="O85" s="173"/>
      <c r="P85" s="173"/>
      <c r="Q85" s="173"/>
      <c r="R85" s="173"/>
      <c r="S85" s="173"/>
      <c r="T85" s="173"/>
      <c r="U85" s="173"/>
      <c r="V85" s="173"/>
      <c r="W85" s="173"/>
      <c r="X85" s="173"/>
      <c r="Y85" s="173"/>
      <c r="Z85" s="173"/>
      <c r="AA85" s="173"/>
      <c r="AB85" s="106"/>
      <c r="AC85" s="106"/>
      <c r="AF85" s="232"/>
      <c r="AG85" s="232"/>
      <c r="AH85" s="232"/>
    </row>
    <row r="86" spans="2:34" s="82" customFormat="1" ht="14.4" x14ac:dyDescent="0.3">
      <c r="AF86" s="232"/>
      <c r="AG86" s="232"/>
      <c r="AH86" s="232"/>
    </row>
    <row r="87" spans="2:34" s="82" customFormat="1" ht="14.4" x14ac:dyDescent="0.3">
      <c r="AF87" s="232"/>
      <c r="AG87" s="232"/>
      <c r="AH87" s="232"/>
    </row>
    <row r="88" spans="2:34" s="82" customFormat="1" ht="14.4" x14ac:dyDescent="0.3">
      <c r="AF88" s="232"/>
      <c r="AG88" s="232"/>
      <c r="AH88" s="232"/>
    </row>
    <row r="89" spans="2:34" s="82" customFormat="1" ht="14.4" x14ac:dyDescent="0.3">
      <c r="AF89" s="232"/>
      <c r="AG89" s="232"/>
      <c r="AH89" s="232"/>
    </row>
    <row r="90" spans="2:34" s="82" customFormat="1" ht="14.4" x14ac:dyDescent="0.3">
      <c r="AF90" s="232"/>
      <c r="AG90" s="232"/>
      <c r="AH90" s="232"/>
    </row>
    <row r="91" spans="2:34" s="82" customFormat="1" ht="14.4" x14ac:dyDescent="0.3">
      <c r="AF91" s="232"/>
      <c r="AG91" s="232"/>
      <c r="AH91" s="232"/>
    </row>
    <row r="92" spans="2:34" s="82" customFormat="1" ht="14.4" x14ac:dyDescent="0.3">
      <c r="AF92" s="232"/>
      <c r="AG92" s="232"/>
      <c r="AH92" s="232"/>
    </row>
    <row r="93" spans="2:34" s="82" customFormat="1" ht="14.4" x14ac:dyDescent="0.3">
      <c r="AF93" s="232"/>
      <c r="AG93" s="232"/>
      <c r="AH93" s="232"/>
    </row>
    <row r="94" spans="2:34" s="82" customFormat="1" ht="14.4" x14ac:dyDescent="0.3">
      <c r="AF94" s="232"/>
      <c r="AG94" s="232"/>
      <c r="AH94" s="232"/>
    </row>
    <row r="95" spans="2:34" s="82" customFormat="1" ht="14.4" x14ac:dyDescent="0.3">
      <c r="AF95" s="232"/>
      <c r="AG95" s="232"/>
      <c r="AH95" s="232"/>
    </row>
    <row r="96" spans="2:34" s="82" customFormat="1" ht="14.4" x14ac:dyDescent="0.3">
      <c r="AF96" s="232"/>
      <c r="AG96" s="232"/>
      <c r="AH96" s="232"/>
    </row>
    <row r="97" spans="32:34" s="82" customFormat="1" ht="14.4" x14ac:dyDescent="0.3">
      <c r="AF97" s="232"/>
      <c r="AG97" s="232"/>
      <c r="AH97" s="232"/>
    </row>
    <row r="98" spans="32:34" s="82" customFormat="1" ht="14.4" x14ac:dyDescent="0.3">
      <c r="AF98" s="232"/>
      <c r="AG98" s="232"/>
      <c r="AH98" s="232"/>
    </row>
    <row r="99" spans="32:34" s="82" customFormat="1" ht="14.4" x14ac:dyDescent="0.3">
      <c r="AF99" s="232"/>
      <c r="AG99" s="232"/>
      <c r="AH99" s="232"/>
    </row>
    <row r="100" spans="32:34" s="82" customFormat="1" ht="14.4" x14ac:dyDescent="0.3">
      <c r="AF100" s="232"/>
      <c r="AG100" s="232"/>
      <c r="AH100" s="232"/>
    </row>
    <row r="101" spans="32:34" s="82" customFormat="1" ht="14.4" x14ac:dyDescent="0.3">
      <c r="AF101" s="232"/>
      <c r="AG101" s="232"/>
      <c r="AH101" s="232"/>
    </row>
    <row r="102" spans="32:34" ht="14.4" x14ac:dyDescent="0.3">
      <c r="AF102"/>
      <c r="AG102"/>
      <c r="AH102"/>
    </row>
    <row r="103" spans="32:34" ht="14.4" x14ac:dyDescent="0.3">
      <c r="AF103"/>
      <c r="AG103"/>
      <c r="AH103"/>
    </row>
    <row r="104" spans="32:34" ht="14.4" x14ac:dyDescent="0.3">
      <c r="AF104"/>
      <c r="AG104"/>
      <c r="AH104"/>
    </row>
    <row r="105" spans="32:34" ht="14.4" x14ac:dyDescent="0.3">
      <c r="AF105"/>
      <c r="AG105"/>
      <c r="AH105"/>
    </row>
    <row r="106" spans="32:34" ht="14.4" x14ac:dyDescent="0.3">
      <c r="AF106"/>
      <c r="AG106"/>
      <c r="AH106"/>
    </row>
    <row r="107" spans="32:34" ht="14.4" x14ac:dyDescent="0.3">
      <c r="AF107"/>
      <c r="AG107"/>
      <c r="AH107"/>
    </row>
    <row r="108" spans="32:34" ht="14.4" x14ac:dyDescent="0.3">
      <c r="AF108"/>
      <c r="AG108"/>
      <c r="AH108"/>
    </row>
    <row r="109" spans="32:34" ht="14.4" x14ac:dyDescent="0.3">
      <c r="AF109"/>
      <c r="AG109"/>
      <c r="AH109"/>
    </row>
    <row r="110" spans="32:34" ht="14.4" x14ac:dyDescent="0.3">
      <c r="AF110"/>
      <c r="AG110"/>
      <c r="AH110"/>
    </row>
    <row r="111" spans="32:34" ht="14.4" x14ac:dyDescent="0.3">
      <c r="AF111"/>
      <c r="AG111"/>
      <c r="AH111"/>
    </row>
    <row r="112" spans="32:34" ht="14.4" x14ac:dyDescent="0.3">
      <c r="AF112"/>
      <c r="AG112"/>
      <c r="AH112"/>
    </row>
    <row r="113" spans="32:34" ht="14.4" x14ac:dyDescent="0.3">
      <c r="AF113"/>
      <c r="AG113"/>
      <c r="AH113"/>
    </row>
    <row r="114" spans="32:34" ht="14.4" x14ac:dyDescent="0.3">
      <c r="AF114"/>
      <c r="AG114"/>
      <c r="AH114"/>
    </row>
    <row r="115" spans="32:34" ht="14.4" x14ac:dyDescent="0.3">
      <c r="AF115"/>
      <c r="AG115"/>
      <c r="AH115"/>
    </row>
    <row r="116" spans="32:34" ht="14.4" x14ac:dyDescent="0.3">
      <c r="AF116"/>
      <c r="AG116"/>
      <c r="AH116"/>
    </row>
    <row r="117" spans="32:34" ht="14.4" x14ac:dyDescent="0.3">
      <c r="AF117"/>
      <c r="AG117"/>
      <c r="AH117"/>
    </row>
    <row r="118" spans="32:34" ht="14.4" x14ac:dyDescent="0.3">
      <c r="AF118"/>
      <c r="AG118"/>
      <c r="AH118"/>
    </row>
    <row r="119" spans="32:34" ht="14.4" x14ac:dyDescent="0.3">
      <c r="AF119"/>
      <c r="AG119"/>
      <c r="AH119"/>
    </row>
    <row r="120" spans="32:34" ht="14.4" x14ac:dyDescent="0.3">
      <c r="AF120"/>
      <c r="AG120"/>
      <c r="AH120"/>
    </row>
    <row r="121" spans="32:34" ht="14.4" x14ac:dyDescent="0.3">
      <c r="AF121"/>
      <c r="AG121"/>
      <c r="AH121"/>
    </row>
    <row r="122" spans="32:34" ht="14.4" x14ac:dyDescent="0.3">
      <c r="AF122"/>
      <c r="AG122"/>
      <c r="AH122"/>
    </row>
    <row r="123" spans="32:34" ht="14.4" x14ac:dyDescent="0.3">
      <c r="AF123"/>
      <c r="AG123"/>
      <c r="AH123"/>
    </row>
    <row r="124" spans="32:34" ht="14.4" x14ac:dyDescent="0.3">
      <c r="AF124"/>
      <c r="AG124"/>
      <c r="AH124"/>
    </row>
    <row r="125" spans="32:34" ht="14.4" x14ac:dyDescent="0.3">
      <c r="AF125"/>
      <c r="AG125"/>
      <c r="AH125"/>
    </row>
    <row r="126" spans="32:34" ht="14.4" x14ac:dyDescent="0.3">
      <c r="AF126"/>
      <c r="AG126"/>
      <c r="AH126"/>
    </row>
    <row r="127" spans="32:34" ht="14.4" x14ac:dyDescent="0.3">
      <c r="AF127"/>
      <c r="AG127"/>
      <c r="AH127"/>
    </row>
    <row r="128" spans="32:34" ht="14.4" x14ac:dyDescent="0.3">
      <c r="AF128"/>
      <c r="AG128"/>
      <c r="AH128"/>
    </row>
    <row r="129" spans="32:34" ht="14.4" x14ac:dyDescent="0.3">
      <c r="AF129"/>
      <c r="AG129"/>
      <c r="AH129"/>
    </row>
    <row r="130" spans="32:34" ht="14.4" x14ac:dyDescent="0.3">
      <c r="AF130"/>
      <c r="AG130"/>
      <c r="AH130"/>
    </row>
    <row r="131" spans="32:34" ht="14.4" x14ac:dyDescent="0.3">
      <c r="AF131"/>
      <c r="AG131"/>
      <c r="AH131"/>
    </row>
    <row r="132" spans="32:34" ht="14.4" x14ac:dyDescent="0.3">
      <c r="AF132"/>
      <c r="AG132"/>
      <c r="AH132"/>
    </row>
    <row r="133" spans="32:34" ht="14.4" x14ac:dyDescent="0.3">
      <c r="AF133"/>
      <c r="AG133"/>
      <c r="AH133"/>
    </row>
    <row r="134" spans="32:34" ht="11.25" customHeight="1" x14ac:dyDescent="0.3">
      <c r="AF134"/>
      <c r="AG134"/>
      <c r="AH134"/>
    </row>
    <row r="135" spans="32:34" ht="14.4" x14ac:dyDescent="0.3">
      <c r="AF135"/>
      <c r="AG135"/>
      <c r="AH135"/>
    </row>
    <row r="136" spans="32:34" ht="14.4" x14ac:dyDescent="0.3">
      <c r="AF136"/>
      <c r="AG136"/>
      <c r="AH136"/>
    </row>
    <row r="137" spans="32:34" ht="14.4" x14ac:dyDescent="0.3">
      <c r="AF137"/>
      <c r="AG137"/>
      <c r="AH137"/>
    </row>
    <row r="138" spans="32:34" ht="14.4" x14ac:dyDescent="0.3">
      <c r="AF138"/>
      <c r="AG138"/>
      <c r="AH138"/>
    </row>
    <row r="139" spans="32:34" ht="14.4" x14ac:dyDescent="0.3">
      <c r="AF139"/>
      <c r="AG139"/>
      <c r="AH139"/>
    </row>
    <row r="140" spans="32:34" ht="14.4" x14ac:dyDescent="0.3">
      <c r="AF140"/>
      <c r="AG140"/>
      <c r="AH140"/>
    </row>
    <row r="141" spans="32:34" ht="14.4" x14ac:dyDescent="0.3">
      <c r="AF141"/>
      <c r="AG141"/>
      <c r="AH141"/>
    </row>
    <row r="142" spans="32:34" ht="14.4" x14ac:dyDescent="0.3">
      <c r="AF142"/>
      <c r="AG142"/>
      <c r="AH142"/>
    </row>
    <row r="143" spans="32:34" ht="14.4" x14ac:dyDescent="0.3">
      <c r="AF143"/>
      <c r="AG143"/>
      <c r="AH143"/>
    </row>
    <row r="144" spans="32:34" ht="14.4" x14ac:dyDescent="0.3">
      <c r="AF144"/>
      <c r="AG144"/>
      <c r="AH144"/>
    </row>
    <row r="145" spans="32:34" ht="14.4" x14ac:dyDescent="0.3">
      <c r="AF145"/>
      <c r="AG145"/>
      <c r="AH145"/>
    </row>
    <row r="146" spans="32:34" ht="14.4" x14ac:dyDescent="0.3">
      <c r="AF146"/>
      <c r="AG146"/>
      <c r="AH146"/>
    </row>
    <row r="147" spans="32:34" ht="14.4" x14ac:dyDescent="0.3">
      <c r="AF147"/>
      <c r="AG147"/>
      <c r="AH147"/>
    </row>
    <row r="148" spans="32:34" ht="14.4" x14ac:dyDescent="0.3">
      <c r="AF148"/>
      <c r="AG148"/>
      <c r="AH148"/>
    </row>
    <row r="149" spans="32:34" ht="14.4" x14ac:dyDescent="0.3">
      <c r="AF149"/>
      <c r="AG149"/>
      <c r="AH149"/>
    </row>
    <row r="150" spans="32:34" ht="14.4" x14ac:dyDescent="0.3">
      <c r="AF150"/>
      <c r="AG150"/>
      <c r="AH150"/>
    </row>
    <row r="151" spans="32:34" ht="14.4" x14ac:dyDescent="0.3">
      <c r="AF151"/>
      <c r="AG151"/>
      <c r="AH151"/>
    </row>
    <row r="152" spans="32:34" ht="14.4" x14ac:dyDescent="0.3">
      <c r="AF152"/>
      <c r="AG152"/>
      <c r="AH152"/>
    </row>
    <row r="153" spans="32:34" ht="14.4" x14ac:dyDescent="0.3">
      <c r="AF153"/>
      <c r="AG153"/>
      <c r="AH153"/>
    </row>
    <row r="154" spans="32:34" ht="14.4" x14ac:dyDescent="0.3">
      <c r="AF154"/>
      <c r="AG154"/>
      <c r="AH154"/>
    </row>
    <row r="155" spans="32:34" ht="14.4" x14ac:dyDescent="0.3">
      <c r="AF155"/>
      <c r="AG155"/>
      <c r="AH155"/>
    </row>
    <row r="156" spans="32:34" ht="14.4" x14ac:dyDescent="0.3">
      <c r="AF156"/>
      <c r="AG156"/>
      <c r="AH156"/>
    </row>
    <row r="157" spans="32:34" ht="14.4" x14ac:dyDescent="0.3">
      <c r="AF157"/>
      <c r="AG157"/>
      <c r="AH157"/>
    </row>
    <row r="158" spans="32:34" ht="14.4" x14ac:dyDescent="0.3">
      <c r="AF158"/>
      <c r="AG158"/>
      <c r="AH158"/>
    </row>
    <row r="159" spans="32:34" ht="14.4" x14ac:dyDescent="0.3">
      <c r="AF159"/>
      <c r="AG159"/>
      <c r="AH159"/>
    </row>
    <row r="160" spans="32:34" ht="14.4" x14ac:dyDescent="0.3">
      <c r="AF160"/>
      <c r="AG160"/>
      <c r="AH160"/>
    </row>
    <row r="161" spans="32:34" ht="14.4" x14ac:dyDescent="0.3">
      <c r="AF161"/>
      <c r="AG161"/>
      <c r="AH161"/>
    </row>
    <row r="162" spans="32:34" ht="14.4" x14ac:dyDescent="0.3">
      <c r="AF162"/>
      <c r="AG162"/>
      <c r="AH162"/>
    </row>
    <row r="163" spans="32:34" ht="14.4" x14ac:dyDescent="0.3">
      <c r="AF163"/>
      <c r="AG163"/>
      <c r="AH163"/>
    </row>
    <row r="164" spans="32:34" ht="14.4" x14ac:dyDescent="0.3">
      <c r="AF164"/>
      <c r="AG164"/>
      <c r="AH164"/>
    </row>
    <row r="165" spans="32:34" ht="14.4" x14ac:dyDescent="0.3">
      <c r="AF165"/>
      <c r="AG165"/>
      <c r="AH165"/>
    </row>
    <row r="166" spans="32:34" ht="14.4" x14ac:dyDescent="0.3">
      <c r="AF166"/>
      <c r="AG166"/>
      <c r="AH166"/>
    </row>
    <row r="167" spans="32:34" ht="14.4" x14ac:dyDescent="0.3">
      <c r="AF167"/>
      <c r="AG167"/>
      <c r="AH167"/>
    </row>
    <row r="168" spans="32:34" ht="14.4" x14ac:dyDescent="0.3">
      <c r="AF168"/>
      <c r="AG168"/>
      <c r="AH168"/>
    </row>
    <row r="169" spans="32:34" ht="14.4" x14ac:dyDescent="0.3">
      <c r="AF169"/>
      <c r="AG169"/>
      <c r="AH169"/>
    </row>
    <row r="170" spans="32:34" ht="14.4" x14ac:dyDescent="0.3">
      <c r="AF170"/>
      <c r="AG170"/>
      <c r="AH170"/>
    </row>
    <row r="171" spans="32:34" ht="14.4" x14ac:dyDescent="0.3">
      <c r="AF171"/>
      <c r="AG171"/>
      <c r="AH171"/>
    </row>
    <row r="172" spans="32:34" ht="14.4" x14ac:dyDescent="0.3">
      <c r="AF172"/>
      <c r="AG172"/>
      <c r="AH172"/>
    </row>
    <row r="173" spans="32:34" ht="14.4" x14ac:dyDescent="0.3">
      <c r="AF173"/>
      <c r="AG173"/>
      <c r="AH173"/>
    </row>
    <row r="174" spans="32:34" ht="14.4" x14ac:dyDescent="0.3">
      <c r="AF174"/>
      <c r="AG174"/>
      <c r="AH174"/>
    </row>
    <row r="175" spans="32:34" ht="14.4" x14ac:dyDescent="0.3">
      <c r="AF175"/>
      <c r="AG175"/>
      <c r="AH175"/>
    </row>
    <row r="176" spans="32:34" ht="14.4" x14ac:dyDescent="0.3">
      <c r="AF176"/>
      <c r="AG176"/>
      <c r="AH176"/>
    </row>
    <row r="177" spans="32:34" ht="14.4" x14ac:dyDescent="0.3">
      <c r="AF177"/>
      <c r="AG177"/>
      <c r="AH177"/>
    </row>
    <row r="178" spans="32:34" ht="14.4" x14ac:dyDescent="0.3">
      <c r="AF178"/>
      <c r="AG178"/>
      <c r="AH178"/>
    </row>
    <row r="179" spans="32:34" ht="14.4" x14ac:dyDescent="0.3">
      <c r="AF179"/>
      <c r="AG179"/>
      <c r="AH179"/>
    </row>
    <row r="180" spans="32:34" ht="14.4" x14ac:dyDescent="0.3">
      <c r="AF180"/>
      <c r="AG180"/>
      <c r="AH180"/>
    </row>
    <row r="181" spans="32:34" ht="14.4" x14ac:dyDescent="0.3">
      <c r="AF181"/>
      <c r="AG181"/>
      <c r="AH181"/>
    </row>
    <row r="182" spans="32:34" ht="14.4" x14ac:dyDescent="0.3">
      <c r="AF182"/>
      <c r="AG182"/>
      <c r="AH182"/>
    </row>
    <row r="183" spans="32:34" ht="14.4" x14ac:dyDescent="0.3">
      <c r="AF183"/>
      <c r="AG183"/>
      <c r="AH183"/>
    </row>
    <row r="184" spans="32:34" ht="14.4" x14ac:dyDescent="0.3">
      <c r="AF184"/>
      <c r="AG184"/>
      <c r="AH184"/>
    </row>
    <row r="185" spans="32:34" ht="14.4" x14ac:dyDescent="0.3">
      <c r="AF185"/>
      <c r="AG185"/>
      <c r="AH185"/>
    </row>
    <row r="186" spans="32:34" ht="14.4" x14ac:dyDescent="0.3">
      <c r="AF186"/>
      <c r="AG186"/>
      <c r="AH186"/>
    </row>
    <row r="187" spans="32:34" ht="14.4" x14ac:dyDescent="0.3">
      <c r="AF187"/>
      <c r="AG187"/>
      <c r="AH187"/>
    </row>
    <row r="188" spans="32:34" ht="14.4" x14ac:dyDescent="0.3">
      <c r="AF188"/>
      <c r="AG188"/>
      <c r="AH188"/>
    </row>
    <row r="189" spans="32:34" ht="14.4" x14ac:dyDescent="0.3">
      <c r="AF189"/>
      <c r="AG189"/>
      <c r="AH189"/>
    </row>
    <row r="190" spans="32:34" ht="14.4" x14ac:dyDescent="0.3">
      <c r="AF190"/>
      <c r="AG190"/>
      <c r="AH190"/>
    </row>
    <row r="191" spans="32:34" ht="14.4" x14ac:dyDescent="0.3">
      <c r="AF191"/>
      <c r="AG191"/>
      <c r="AH191"/>
    </row>
    <row r="192" spans="32:34" ht="14.4" x14ac:dyDescent="0.3">
      <c r="AF192"/>
      <c r="AG192"/>
      <c r="AH192"/>
    </row>
    <row r="193" spans="32:34" ht="14.4" x14ac:dyDescent="0.3">
      <c r="AF193"/>
      <c r="AG193"/>
      <c r="AH193"/>
    </row>
    <row r="194" spans="32:34" ht="14.4" x14ac:dyDescent="0.3">
      <c r="AF194"/>
      <c r="AG194"/>
      <c r="AH194"/>
    </row>
    <row r="195" spans="32:34" ht="14.4" x14ac:dyDescent="0.3">
      <c r="AF195"/>
      <c r="AG195"/>
      <c r="AH195"/>
    </row>
    <row r="196" spans="32:34" ht="14.4" x14ac:dyDescent="0.3">
      <c r="AF196"/>
      <c r="AG196"/>
      <c r="AH196"/>
    </row>
    <row r="197" spans="32:34" ht="14.4" x14ac:dyDescent="0.3">
      <c r="AF197"/>
      <c r="AG197"/>
      <c r="AH197"/>
    </row>
    <row r="198" spans="32:34" ht="14.4" x14ac:dyDescent="0.3">
      <c r="AF198"/>
      <c r="AG198"/>
      <c r="AH198"/>
    </row>
    <row r="199" spans="32:34" ht="14.4" x14ac:dyDescent="0.3">
      <c r="AF199"/>
      <c r="AG199"/>
      <c r="AH199"/>
    </row>
    <row r="200" spans="32:34" ht="14.4" x14ac:dyDescent="0.3">
      <c r="AF200"/>
      <c r="AG200"/>
      <c r="AH200"/>
    </row>
    <row r="201" spans="32:34" ht="14.4" x14ac:dyDescent="0.3">
      <c r="AF201"/>
      <c r="AG201"/>
      <c r="AH201"/>
    </row>
  </sheetData>
  <mergeCells count="115">
    <mergeCell ref="C67:E69"/>
    <mergeCell ref="F67:AA69"/>
    <mergeCell ref="Q71:W71"/>
    <mergeCell ref="T72:U72"/>
    <mergeCell ref="C74:G74"/>
    <mergeCell ref="K74:N74"/>
    <mergeCell ref="Y74:AA74"/>
    <mergeCell ref="F75:X76"/>
    <mergeCell ref="G78:AA78"/>
    <mergeCell ref="Y6:AD6"/>
    <mergeCell ref="C1:D1"/>
    <mergeCell ref="AA1:AC1"/>
    <mergeCell ref="C2:AA3"/>
    <mergeCell ref="E4:J4"/>
    <mergeCell ref="K4:O4"/>
    <mergeCell ref="P4:S4"/>
    <mergeCell ref="H65:I65"/>
    <mergeCell ref="J65:L65"/>
    <mergeCell ref="N65:O65"/>
    <mergeCell ref="V65:W65"/>
    <mergeCell ref="Z65:AA65"/>
    <mergeCell ref="U4:V4"/>
    <mergeCell ref="C8:E8"/>
    <mergeCell ref="F8:O8"/>
    <mergeCell ref="P8:W8"/>
    <mergeCell ref="K5:O5"/>
    <mergeCell ref="F6:G6"/>
    <mergeCell ref="I6:K6"/>
    <mergeCell ref="L6:O6"/>
    <mergeCell ref="P6:W6"/>
    <mergeCell ref="P7:W7"/>
    <mergeCell ref="H39:AA39"/>
    <mergeCell ref="M40:O40"/>
    <mergeCell ref="R40:S40"/>
    <mergeCell ref="C7:I7"/>
    <mergeCell ref="J7:O7"/>
    <mergeCell ref="D19:E19"/>
    <mergeCell ref="F19:AA19"/>
    <mergeCell ref="F23:AA23"/>
    <mergeCell ref="F24:AA25"/>
    <mergeCell ref="G9:I9"/>
    <mergeCell ref="L9:N9"/>
    <mergeCell ref="F13:AA13"/>
    <mergeCell ref="F14:AA15"/>
    <mergeCell ref="D16:E16"/>
    <mergeCell ref="F16:AA16"/>
    <mergeCell ref="F29:AA29"/>
    <mergeCell ref="F30:AA31"/>
    <mergeCell ref="D32:E32"/>
    <mergeCell ref="F32:AA32"/>
    <mergeCell ref="D17:E17"/>
    <mergeCell ref="F17:AA18"/>
    <mergeCell ref="D33:E34"/>
    <mergeCell ref="F33:P33"/>
    <mergeCell ref="R33:AA33"/>
    <mergeCell ref="F34:P34"/>
    <mergeCell ref="R34:AA34"/>
    <mergeCell ref="D35:E35"/>
    <mergeCell ref="F35:AA35"/>
    <mergeCell ref="F37:G37"/>
    <mergeCell ref="H37:V37"/>
    <mergeCell ref="W37:Y37"/>
    <mergeCell ref="Z37:AA37"/>
    <mergeCell ref="D53:E53"/>
    <mergeCell ref="F53:K53"/>
    <mergeCell ref="Q53:S53"/>
    <mergeCell ref="M41:O41"/>
    <mergeCell ref="R41:S41"/>
    <mergeCell ref="I42:K42"/>
    <mergeCell ref="M42:X42"/>
    <mergeCell ref="I43:K43"/>
    <mergeCell ref="M43:X43"/>
    <mergeCell ref="I44:K44"/>
    <mergeCell ref="M44:X44"/>
    <mergeCell ref="I45:K45"/>
    <mergeCell ref="M45:X45"/>
    <mergeCell ref="I46:X46"/>
    <mergeCell ref="H47:AA48"/>
    <mergeCell ref="R49:AA49"/>
    <mergeCell ref="D50:E50"/>
    <mergeCell ref="F50:K50"/>
    <mergeCell ref="S50:AA50"/>
    <mergeCell ref="D51:E51"/>
    <mergeCell ref="F51:K51"/>
    <mergeCell ref="S51:AA51"/>
    <mergeCell ref="D52:E52"/>
    <mergeCell ref="F52:K52"/>
    <mergeCell ref="S52:AA52"/>
    <mergeCell ref="D54:E54"/>
    <mergeCell ref="F54:K54"/>
    <mergeCell ref="U54:Y54"/>
    <mergeCell ref="Q55:R55"/>
    <mergeCell ref="S55:V55"/>
    <mergeCell ref="Y55:AA55"/>
    <mergeCell ref="R56:Y56"/>
    <mergeCell ref="H57:I57"/>
    <mergeCell ref="J57:L57"/>
    <mergeCell ref="N57:O57"/>
    <mergeCell ref="V57:W57"/>
    <mergeCell ref="Z57:AA57"/>
    <mergeCell ref="Q63:W63"/>
    <mergeCell ref="T64:U64"/>
    <mergeCell ref="C58:E58"/>
    <mergeCell ref="F58:K58"/>
    <mergeCell ref="P58:R58"/>
    <mergeCell ref="S58:X58"/>
    <mergeCell ref="C59:E61"/>
    <mergeCell ref="C66:E66"/>
    <mergeCell ref="F66:K66"/>
    <mergeCell ref="P66:R66"/>
    <mergeCell ref="S66:X66"/>
    <mergeCell ref="AH1:AH4"/>
    <mergeCell ref="G85:AA85"/>
    <mergeCell ref="F59:AA61"/>
    <mergeCell ref="R74:U74"/>
  </mergeCells>
  <conditionalFormatting sqref="A37:AE41 A47:AE56 A45:B45 D45:H45 A202:XFD1048576 AI37:XFD56 A46:H46 Y45:AE46 L45 A42:H44 L42:AE44 AI102:XFD201 A102:AE201">
    <cfRule type="containsText" dxfId="17" priority="17" stopIfTrue="1" operator="containsText" text="ИНВОЙС">
      <formula>NOT(ISERROR(SEARCH("ИНВОЙС",A37)))</formula>
    </cfRule>
    <cfRule type="containsText" dxfId="16" priority="18" stopIfTrue="1" operator="containsText" text="ЗАПОЛНИТЬ">
      <formula>NOT(ISERROR(SEARCH("ЗАПОЛНИТЬ",A37)))</formula>
    </cfRule>
  </conditionalFormatting>
  <conditionalFormatting sqref="C45">
    <cfRule type="containsText" dxfId="15" priority="15" stopIfTrue="1" operator="containsText" text="ИНВОЙС">
      <formula>NOT(ISERROR(SEARCH("ИНВОЙС",C45)))</formula>
    </cfRule>
    <cfRule type="containsText" dxfId="14" priority="16" stopIfTrue="1" operator="containsText" text="ЗАПОЛНИТЬ">
      <formula>NOT(ISERROR(SEARCH("ЗАПОЛНИТЬ",C45)))</formula>
    </cfRule>
  </conditionalFormatting>
  <conditionalFormatting sqref="A3:AE36 A1:AF2 AG1:XFD1 AG2:AG4 AI2:XFD36">
    <cfRule type="containsText" dxfId="13" priority="13" stopIfTrue="1" operator="containsText" text="ИНВОЙС">
      <formula>NOT(ISERROR(SEARCH("ИНВОЙС",A1)))</formula>
    </cfRule>
    <cfRule type="containsText" dxfId="12" priority="14" stopIfTrue="1" operator="containsText" text="ЗАПОЛНИТЬ">
      <formula>NOT(ISERROR(SEARCH("ЗАПОЛНИТЬ",A1)))</formula>
    </cfRule>
  </conditionalFormatting>
  <conditionalFormatting sqref="M45:X45">
    <cfRule type="containsText" dxfId="11" priority="11" stopIfTrue="1" operator="containsText" text="ИНВОЙС">
      <formula>NOT(ISERROR(SEARCH("ИНВОЙС",M45)))</formula>
    </cfRule>
    <cfRule type="containsText" dxfId="10" priority="12" stopIfTrue="1" operator="containsText" text="ЗАПОЛНИТЬ">
      <formula>NOT(ISERROR(SEARCH("ЗАПОЛНИТЬ",M45)))</formula>
    </cfRule>
  </conditionalFormatting>
  <conditionalFormatting sqref="I46:X46">
    <cfRule type="containsText" dxfId="9" priority="9" stopIfTrue="1" operator="containsText" text="ИНВОЙС">
      <formula>NOT(ISERROR(SEARCH("ИНВОЙС",I46)))</formula>
    </cfRule>
    <cfRule type="containsText" dxfId="8" priority="10" stopIfTrue="1" operator="containsText" text="ЗАПОЛНИТЬ">
      <formula>NOT(ISERROR(SEARCH("ЗАПОЛНИТЬ",I46)))</formula>
    </cfRule>
  </conditionalFormatting>
  <conditionalFormatting sqref="I42:K45">
    <cfRule type="containsText" dxfId="7" priority="7" stopIfTrue="1" operator="containsText" text="ИНВОЙС">
      <formula>NOT(ISERROR(SEARCH("ИНВОЙС",I42)))</formula>
    </cfRule>
    <cfRule type="containsText" dxfId="6" priority="8" stopIfTrue="1" operator="containsText" text="ЗАПОЛНИТЬ">
      <formula>NOT(ISERROR(SEARCH("ЗАПОЛНИТЬ",I42)))</formula>
    </cfRule>
  </conditionalFormatting>
  <conditionalFormatting sqref="AI83:XFD101 A83:AE101">
    <cfRule type="containsText" dxfId="5" priority="5" stopIfTrue="1" operator="containsText" text="ИНВОЙС">
      <formula>NOT(ISERROR(SEARCH("ИНВОЙС",A83)))</formula>
    </cfRule>
    <cfRule type="containsText" dxfId="4" priority="6" stopIfTrue="1" operator="containsText" text="ЗАПОЛНИТЬ">
      <formula>NOT(ISERROR(SEARCH("ЗАПОЛНИТЬ",A83)))</formula>
    </cfRule>
  </conditionalFormatting>
  <conditionalFormatting sqref="A57:AE64 AI57:XFD64 AI73:XFD82 A73:AE82">
    <cfRule type="containsText" dxfId="3" priority="3" stopIfTrue="1" operator="containsText" text="ИНВОЙС">
      <formula>NOT(ISERROR(SEARCH("ИНВОЙС",A57)))</formula>
    </cfRule>
    <cfRule type="containsText" dxfId="2" priority="4" stopIfTrue="1" operator="containsText" text="ЗАПОЛНИТЬ">
      <formula>NOT(ISERROR(SEARCH("ЗАПОЛНИТЬ",A57)))</formula>
    </cfRule>
  </conditionalFormatting>
  <conditionalFormatting sqref="A65:AE72 AI65:XFD72">
    <cfRule type="containsText" dxfId="1" priority="1" stopIfTrue="1" operator="containsText" text="ИНВОЙС">
      <formula>NOT(ISERROR(SEARCH("ИНВОЙС",A65)))</formula>
    </cfRule>
    <cfRule type="containsText" dxfId="0" priority="2" stopIfTrue="1" operator="containsText" text="ЗАПОЛНИТЬ">
      <formula>NOT(ISERROR(SEARCH("ЗАПОЛНИТЬ",A65)))</formula>
    </cfRule>
  </conditionalFormatting>
  <printOptions horizontalCentered="1"/>
  <pageMargins left="0" right="0" top="0.25" bottom="0.25" header="0" footer="0"/>
  <pageSetup paperSize="9" scale="65" orientation="portrait"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7"/>
  <sheetViews>
    <sheetView showGridLines="0" workbookViewId="0">
      <selection sqref="A1:I1"/>
    </sheetView>
  </sheetViews>
  <sheetFormatPr defaultRowHeight="14.4" x14ac:dyDescent="0.3"/>
  <cols>
    <col min="1" max="8" width="15.109375" customWidth="1"/>
    <col min="9" max="9" width="16.77734375" customWidth="1"/>
    <col min="10" max="10" width="65.77734375" customWidth="1"/>
  </cols>
  <sheetData>
    <row r="1" spans="1:9" ht="19.95" customHeight="1" x14ac:dyDescent="0.3">
      <c r="A1" s="211" t="s">
        <v>285</v>
      </c>
      <c r="B1" s="132"/>
      <c r="C1" s="132"/>
      <c r="D1" s="132"/>
      <c r="E1" s="132"/>
      <c r="F1" s="132"/>
      <c r="G1" s="132"/>
      <c r="H1" s="132"/>
      <c r="I1" s="132"/>
    </row>
    <row r="2" spans="1:9" x14ac:dyDescent="0.3">
      <c r="A2" s="162" t="s">
        <v>286</v>
      </c>
      <c r="B2" s="132"/>
      <c r="C2" s="167" t="s">
        <v>111</v>
      </c>
      <c r="D2" s="132"/>
      <c r="E2" s="132"/>
      <c r="F2" s="4" t="s">
        <v>207</v>
      </c>
      <c r="G2" s="34">
        <v>46102</v>
      </c>
      <c r="H2" s="4" t="s">
        <v>1</v>
      </c>
      <c r="I2" s="4" t="s">
        <v>1</v>
      </c>
    </row>
    <row r="3" spans="1:9" x14ac:dyDescent="0.3">
      <c r="A3" s="162" t="s">
        <v>270</v>
      </c>
      <c r="B3" s="132"/>
      <c r="C3" s="167" t="s">
        <v>97</v>
      </c>
      <c r="D3" s="132"/>
      <c r="E3" s="132"/>
      <c r="F3" s="4" t="s">
        <v>207</v>
      </c>
      <c r="G3" s="34">
        <v>46101</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62" t="s">
        <v>208</v>
      </c>
      <c r="B5" s="132"/>
      <c r="C5" s="167" t="s">
        <v>20</v>
      </c>
      <c r="D5" s="132"/>
      <c r="E5" s="4" t="s">
        <v>287</v>
      </c>
      <c r="F5" s="167"/>
      <c r="G5" s="132"/>
      <c r="H5" s="132"/>
      <c r="I5" s="132"/>
    </row>
    <row r="6" spans="1:9" x14ac:dyDescent="0.3">
      <c r="A6" s="4" t="s">
        <v>1</v>
      </c>
      <c r="B6" s="4" t="s">
        <v>1</v>
      </c>
      <c r="C6" s="162" t="s">
        <v>23</v>
      </c>
      <c r="D6" s="132"/>
      <c r="E6" s="4" t="s">
        <v>1</v>
      </c>
      <c r="F6" s="162"/>
      <c r="G6" s="132"/>
      <c r="H6" s="132"/>
      <c r="I6" s="132"/>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214</v>
      </c>
      <c r="F8" s="167"/>
      <c r="G8" s="132"/>
      <c r="H8" s="132"/>
      <c r="I8" s="132"/>
    </row>
    <row r="9" spans="1:9" x14ac:dyDescent="0.3">
      <c r="A9" s="4" t="s">
        <v>1</v>
      </c>
      <c r="B9" s="4" t="s">
        <v>1</v>
      </c>
      <c r="C9" s="4" t="s">
        <v>1</v>
      </c>
      <c r="D9" s="4" t="s">
        <v>1</v>
      </c>
      <c r="E9" s="4" t="s">
        <v>1</v>
      </c>
      <c r="F9" s="4" t="s">
        <v>1</v>
      </c>
      <c r="G9" s="4" t="s">
        <v>1</v>
      </c>
      <c r="H9" s="4" t="s">
        <v>1</v>
      </c>
      <c r="I9" s="4" t="s">
        <v>1</v>
      </c>
    </row>
    <row r="10" spans="1:9" ht="20.399999999999999" x14ac:dyDescent="0.3">
      <c r="A10" s="35" t="s">
        <v>215</v>
      </c>
      <c r="B10" s="168" t="s">
        <v>216</v>
      </c>
      <c r="C10" s="140"/>
      <c r="D10" s="35" t="s">
        <v>219</v>
      </c>
      <c r="E10" s="35" t="s">
        <v>220</v>
      </c>
      <c r="F10" s="35" t="s">
        <v>278</v>
      </c>
      <c r="G10" s="35" t="s">
        <v>279</v>
      </c>
      <c r="H10" s="35" t="s">
        <v>280</v>
      </c>
      <c r="I10" s="35" t="s">
        <v>281</v>
      </c>
    </row>
    <row r="11" spans="1:9" x14ac:dyDescent="0.3">
      <c r="A11" s="36">
        <v>1</v>
      </c>
      <c r="B11" s="163" t="s">
        <v>234</v>
      </c>
      <c r="C11" s="140"/>
      <c r="D11" s="37" t="s">
        <v>140</v>
      </c>
      <c r="E11" s="37" t="s">
        <v>140</v>
      </c>
      <c r="F11" s="36">
        <v>3</v>
      </c>
      <c r="G11" s="37" t="s">
        <v>282</v>
      </c>
      <c r="H11" s="36">
        <v>51.93</v>
      </c>
      <c r="I11" s="36">
        <v>57.73</v>
      </c>
    </row>
    <row r="12" spans="1:9" x14ac:dyDescent="0.3">
      <c r="A12" s="36">
        <v>2</v>
      </c>
      <c r="B12" s="163" t="s">
        <v>239</v>
      </c>
      <c r="C12" s="140"/>
      <c r="D12" s="37" t="s">
        <v>140</v>
      </c>
      <c r="E12" s="37" t="s">
        <v>140</v>
      </c>
      <c r="F12" s="36">
        <v>4</v>
      </c>
      <c r="G12" s="37" t="s">
        <v>282</v>
      </c>
      <c r="H12" s="36">
        <v>62.68</v>
      </c>
      <c r="I12" s="36">
        <v>70.41</v>
      </c>
    </row>
    <row r="13" spans="1:9" x14ac:dyDescent="0.3">
      <c r="A13" s="36">
        <v>3</v>
      </c>
      <c r="B13" s="163" t="s">
        <v>239</v>
      </c>
      <c r="C13" s="140"/>
      <c r="D13" s="37" t="s">
        <v>140</v>
      </c>
      <c r="E13" s="37" t="s">
        <v>140</v>
      </c>
      <c r="F13" s="36">
        <v>5</v>
      </c>
      <c r="G13" s="37" t="s">
        <v>282</v>
      </c>
      <c r="H13" s="36">
        <v>85.56</v>
      </c>
      <c r="I13" s="36">
        <v>95.22</v>
      </c>
    </row>
    <row r="14" spans="1:9" x14ac:dyDescent="0.3">
      <c r="A14" s="36">
        <v>4</v>
      </c>
      <c r="B14" s="163" t="s">
        <v>239</v>
      </c>
      <c r="C14" s="140"/>
      <c r="D14" s="37" t="s">
        <v>140</v>
      </c>
      <c r="E14" s="37" t="s">
        <v>140</v>
      </c>
      <c r="F14" s="36">
        <v>6</v>
      </c>
      <c r="G14" s="37" t="s">
        <v>282</v>
      </c>
      <c r="H14" s="36">
        <v>109.71</v>
      </c>
      <c r="I14" s="36">
        <v>121.3</v>
      </c>
    </row>
    <row r="15" spans="1:9" x14ac:dyDescent="0.3">
      <c r="A15" s="36">
        <v>5</v>
      </c>
      <c r="B15" s="163" t="s">
        <v>239</v>
      </c>
      <c r="C15" s="140"/>
      <c r="D15" s="37" t="s">
        <v>140</v>
      </c>
      <c r="E15" s="37" t="s">
        <v>140</v>
      </c>
      <c r="F15" s="36">
        <v>3</v>
      </c>
      <c r="G15" s="37" t="s">
        <v>282</v>
      </c>
      <c r="H15" s="36">
        <v>59.98</v>
      </c>
      <c r="I15" s="36">
        <v>65.78</v>
      </c>
    </row>
    <row r="16" spans="1:9" x14ac:dyDescent="0.3">
      <c r="A16" s="36">
        <v>6</v>
      </c>
      <c r="B16" s="163" t="s">
        <v>239</v>
      </c>
      <c r="C16" s="140"/>
      <c r="D16" s="37" t="s">
        <v>140</v>
      </c>
      <c r="E16" s="37" t="s">
        <v>140</v>
      </c>
      <c r="F16" s="36">
        <v>3</v>
      </c>
      <c r="G16" s="37" t="s">
        <v>282</v>
      </c>
      <c r="H16" s="36">
        <v>71.39</v>
      </c>
      <c r="I16" s="36">
        <v>77.19</v>
      </c>
    </row>
    <row r="17" spans="1:9" x14ac:dyDescent="0.3">
      <c r="A17" s="36">
        <v>7</v>
      </c>
      <c r="B17" s="163" t="s">
        <v>245</v>
      </c>
      <c r="C17" s="140"/>
      <c r="D17" s="37" t="s">
        <v>153</v>
      </c>
      <c r="E17" s="37" t="s">
        <v>153</v>
      </c>
      <c r="F17" s="36">
        <v>5</v>
      </c>
      <c r="G17" s="37" t="s">
        <v>282</v>
      </c>
      <c r="H17" s="36">
        <v>62.2</v>
      </c>
      <c r="I17" s="36">
        <v>71.86</v>
      </c>
    </row>
    <row r="18" spans="1:9" x14ac:dyDescent="0.3">
      <c r="A18" s="36">
        <v>8</v>
      </c>
      <c r="B18" s="163" t="s">
        <v>248</v>
      </c>
      <c r="C18" s="140"/>
      <c r="D18" s="37" t="s">
        <v>153</v>
      </c>
      <c r="E18" s="37" t="s">
        <v>153</v>
      </c>
      <c r="F18" s="36">
        <v>7</v>
      </c>
      <c r="G18" s="37" t="s">
        <v>282</v>
      </c>
      <c r="H18" s="36">
        <v>96.22</v>
      </c>
      <c r="I18" s="36">
        <v>109.75</v>
      </c>
    </row>
    <row r="19" spans="1:9" x14ac:dyDescent="0.3">
      <c r="A19" s="36">
        <v>9</v>
      </c>
      <c r="B19" s="163" t="s">
        <v>248</v>
      </c>
      <c r="C19" s="140"/>
      <c r="D19" s="37" t="s">
        <v>153</v>
      </c>
      <c r="E19" s="37" t="s">
        <v>153</v>
      </c>
      <c r="F19" s="36">
        <v>12</v>
      </c>
      <c r="G19" s="37" t="s">
        <v>282</v>
      </c>
      <c r="H19" s="36">
        <v>172.43</v>
      </c>
      <c r="I19" s="36">
        <v>195.62</v>
      </c>
    </row>
    <row r="20" spans="1:9" x14ac:dyDescent="0.3">
      <c r="A20" s="36">
        <v>10</v>
      </c>
      <c r="B20" s="163" t="s">
        <v>248</v>
      </c>
      <c r="C20" s="140"/>
      <c r="D20" s="37" t="s">
        <v>153</v>
      </c>
      <c r="E20" s="37" t="s">
        <v>153</v>
      </c>
      <c r="F20" s="36">
        <v>10</v>
      </c>
      <c r="G20" s="37" t="s">
        <v>282</v>
      </c>
      <c r="H20" s="36">
        <v>161.78</v>
      </c>
      <c r="I20" s="36">
        <v>181.1</v>
      </c>
    </row>
    <row r="21" spans="1:9" x14ac:dyDescent="0.3">
      <c r="A21" s="36">
        <v>11</v>
      </c>
      <c r="B21" s="163" t="s">
        <v>248</v>
      </c>
      <c r="C21" s="140"/>
      <c r="D21" s="37" t="s">
        <v>153</v>
      </c>
      <c r="E21" s="37" t="s">
        <v>153</v>
      </c>
      <c r="F21" s="36">
        <v>9</v>
      </c>
      <c r="G21" s="37" t="s">
        <v>282</v>
      </c>
      <c r="H21" s="36">
        <v>148.18</v>
      </c>
      <c r="I21" s="36">
        <v>165.57</v>
      </c>
    </row>
    <row r="22" spans="1:9" x14ac:dyDescent="0.3">
      <c r="A22" s="36">
        <v>12</v>
      </c>
      <c r="B22" s="163" t="s">
        <v>248</v>
      </c>
      <c r="C22" s="140"/>
      <c r="D22" s="37" t="s">
        <v>153</v>
      </c>
      <c r="E22" s="37" t="s">
        <v>153</v>
      </c>
      <c r="F22" s="36">
        <v>7</v>
      </c>
      <c r="G22" s="37" t="s">
        <v>282</v>
      </c>
      <c r="H22" s="36">
        <v>110.94</v>
      </c>
      <c r="I22" s="36">
        <v>124.47</v>
      </c>
    </row>
    <row r="23" spans="1:9" x14ac:dyDescent="0.3">
      <c r="A23" s="210" t="s">
        <v>288</v>
      </c>
      <c r="B23" s="137"/>
      <c r="C23" s="137"/>
      <c r="D23" s="137"/>
      <c r="E23" s="39" t="s">
        <v>1</v>
      </c>
      <c r="F23" s="40">
        <v>74</v>
      </c>
      <c r="G23" s="38" t="s">
        <v>1</v>
      </c>
      <c r="H23" s="40">
        <v>1193</v>
      </c>
      <c r="I23" s="44">
        <v>1336</v>
      </c>
    </row>
    <row r="24" spans="1:9" x14ac:dyDescent="0.3">
      <c r="A24" s="3" t="s">
        <v>1</v>
      </c>
      <c r="B24" s="3" t="s">
        <v>1</v>
      </c>
      <c r="C24" s="3" t="s">
        <v>1</v>
      </c>
      <c r="D24" s="3" t="s">
        <v>1</v>
      </c>
      <c r="E24" s="4" t="s">
        <v>1</v>
      </c>
      <c r="F24" s="4" t="s">
        <v>1</v>
      </c>
      <c r="G24" s="4" t="s">
        <v>1</v>
      </c>
      <c r="H24" s="4" t="s">
        <v>1</v>
      </c>
      <c r="I24" s="4" t="s">
        <v>1</v>
      </c>
    </row>
    <row r="25" spans="1:9" ht="19.95" customHeight="1" x14ac:dyDescent="0.3">
      <c r="A25" s="162" t="s">
        <v>289</v>
      </c>
      <c r="B25" s="132"/>
      <c r="C25" s="163"/>
      <c r="D25" s="139"/>
      <c r="E25" s="139"/>
      <c r="F25" s="139"/>
      <c r="G25" s="139"/>
      <c r="H25" s="139"/>
      <c r="I25" s="140"/>
    </row>
    <row r="26" spans="1:9" x14ac:dyDescent="0.3">
      <c r="A26" s="164" t="s">
        <v>1</v>
      </c>
      <c r="B26" s="165"/>
      <c r="C26" s="165"/>
      <c r="D26" s="165"/>
      <c r="E26" s="4" t="s">
        <v>1</v>
      </c>
      <c r="F26" s="164" t="s">
        <v>1</v>
      </c>
      <c r="G26" s="165"/>
      <c r="H26" s="165"/>
      <c r="I26" s="165"/>
    </row>
    <row r="27" spans="1:9" x14ac:dyDescent="0.3">
      <c r="A27" s="4" t="s">
        <v>208</v>
      </c>
      <c r="B27" s="4" t="s">
        <v>1</v>
      </c>
      <c r="C27" s="4" t="s">
        <v>1</v>
      </c>
      <c r="D27" s="4" t="s">
        <v>1</v>
      </c>
      <c r="E27" s="4" t="s">
        <v>1</v>
      </c>
      <c r="F27" s="4" t="s">
        <v>290</v>
      </c>
      <c r="G27" s="4" t="s">
        <v>1</v>
      </c>
      <c r="H27" s="4" t="s">
        <v>1</v>
      </c>
      <c r="I27" s="4" t="s">
        <v>1</v>
      </c>
    </row>
  </sheetData>
  <mergeCells count="29">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B14:C14"/>
    <mergeCell ref="B15:C15"/>
    <mergeCell ref="B16:C16"/>
    <mergeCell ref="B17:C17"/>
    <mergeCell ref="B18:C18"/>
    <mergeCell ref="A25:B25"/>
    <mergeCell ref="C25:I25"/>
    <mergeCell ref="A26:D26"/>
    <mergeCell ref="F26:I26"/>
    <mergeCell ref="B19:C19"/>
    <mergeCell ref="B20:C20"/>
    <mergeCell ref="B21:C21"/>
    <mergeCell ref="B22:C22"/>
    <mergeCell ref="A23:D2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222" t="s">
        <v>291</v>
      </c>
      <c r="B1" s="132"/>
      <c r="C1" s="132"/>
      <c r="D1" s="132"/>
      <c r="E1" s="132"/>
      <c r="F1" s="132"/>
      <c r="G1" s="132"/>
      <c r="H1" s="132"/>
      <c r="I1" s="132"/>
      <c r="J1" s="132"/>
      <c r="K1" s="132"/>
      <c r="L1" s="132"/>
      <c r="M1" s="2" t="s">
        <v>1</v>
      </c>
      <c r="N1" s="2" t="s">
        <v>1</v>
      </c>
      <c r="O1" s="2" t="s">
        <v>1</v>
      </c>
      <c r="P1" s="2" t="s">
        <v>1</v>
      </c>
      <c r="Q1" s="2" t="s">
        <v>1</v>
      </c>
      <c r="R1" s="2" t="s">
        <v>1</v>
      </c>
      <c r="S1" s="2" t="s">
        <v>1</v>
      </c>
      <c r="T1" s="2" t="s">
        <v>1</v>
      </c>
    </row>
    <row r="2" spans="1:20" x14ac:dyDescent="0.3">
      <c r="A2" s="167" t="s">
        <v>292</v>
      </c>
      <c r="B2" s="132"/>
      <c r="C2" s="132"/>
      <c r="D2" s="132"/>
      <c r="E2" s="132"/>
      <c r="F2" s="45" t="s">
        <v>1</v>
      </c>
      <c r="G2" s="45" t="s">
        <v>1</v>
      </c>
      <c r="H2" s="45" t="s">
        <v>1</v>
      </c>
      <c r="I2" s="45" t="s">
        <v>1</v>
      </c>
      <c r="J2" s="223" t="s">
        <v>293</v>
      </c>
      <c r="K2" s="132"/>
      <c r="L2" s="132"/>
      <c r="M2" s="132"/>
      <c r="N2" s="132"/>
      <c r="O2" s="132"/>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63" t="s">
        <v>294</v>
      </c>
      <c r="B4" s="139"/>
      <c r="C4" s="139"/>
      <c r="D4" s="139"/>
      <c r="E4" s="140"/>
      <c r="F4" s="163" t="s">
        <v>295</v>
      </c>
      <c r="G4" s="139"/>
      <c r="H4" s="139"/>
      <c r="I4" s="139"/>
      <c r="J4" s="140"/>
      <c r="K4" s="163" t="s">
        <v>296</v>
      </c>
      <c r="L4" s="139"/>
      <c r="M4" s="139"/>
      <c r="N4" s="139"/>
      <c r="O4" s="140"/>
      <c r="P4" s="163" t="s">
        <v>297</v>
      </c>
      <c r="Q4" s="139"/>
      <c r="R4" s="139"/>
      <c r="S4" s="139"/>
      <c r="T4" s="140"/>
    </row>
    <row r="5" spans="1:20" ht="16.95" customHeight="1" x14ac:dyDescent="0.3">
      <c r="A5" s="216" t="s">
        <v>298</v>
      </c>
      <c r="B5" s="146"/>
      <c r="C5" s="146"/>
      <c r="D5" s="146"/>
      <c r="E5" s="146"/>
      <c r="F5" s="146"/>
      <c r="G5" s="146"/>
      <c r="H5" s="217"/>
      <c r="I5" s="216" t="s">
        <v>299</v>
      </c>
      <c r="J5" s="146"/>
      <c r="K5" s="146"/>
      <c r="L5" s="217"/>
      <c r="M5" s="216" t="s">
        <v>300</v>
      </c>
      <c r="N5" s="146"/>
      <c r="O5" s="146"/>
      <c r="P5" s="217"/>
      <c r="Q5" s="216" t="s">
        <v>301</v>
      </c>
      <c r="R5" s="146"/>
      <c r="S5" s="146"/>
      <c r="T5" s="217"/>
    </row>
    <row r="6" spans="1:20" ht="46.05" customHeight="1" x14ac:dyDescent="0.3">
      <c r="A6" s="221" t="s">
        <v>20</v>
      </c>
      <c r="B6" s="137"/>
      <c r="C6" s="137"/>
      <c r="D6" s="137"/>
      <c r="E6" s="137"/>
      <c r="F6" s="137"/>
      <c r="G6" s="137"/>
      <c r="H6" s="219"/>
      <c r="I6" s="218" t="s">
        <v>1</v>
      </c>
      <c r="J6" s="137"/>
      <c r="K6" s="137"/>
      <c r="L6" s="219"/>
      <c r="M6" s="218" t="s">
        <v>1</v>
      </c>
      <c r="N6" s="137"/>
      <c r="O6" s="137"/>
      <c r="P6" s="219"/>
      <c r="Q6" s="218" t="s">
        <v>1</v>
      </c>
      <c r="R6" s="137"/>
      <c r="S6" s="137"/>
      <c r="T6" s="219"/>
    </row>
    <row r="7" spans="1:20" ht="16.95" customHeight="1" x14ac:dyDescent="0.3">
      <c r="A7" s="216" t="s">
        <v>302</v>
      </c>
      <c r="B7" s="146"/>
      <c r="C7" s="146"/>
      <c r="D7" s="146"/>
      <c r="E7" s="146"/>
      <c r="F7" s="146"/>
      <c r="G7" s="146"/>
      <c r="H7" s="217"/>
      <c r="I7" s="216" t="s">
        <v>303</v>
      </c>
      <c r="J7" s="146"/>
      <c r="K7" s="146"/>
      <c r="L7" s="217"/>
      <c r="M7" s="216" t="s">
        <v>304</v>
      </c>
      <c r="N7" s="146"/>
      <c r="O7" s="146"/>
      <c r="P7" s="217"/>
      <c r="Q7" s="216" t="s">
        <v>305</v>
      </c>
      <c r="R7" s="146"/>
      <c r="S7" s="146"/>
      <c r="T7" s="217"/>
    </row>
    <row r="8" spans="1:20" ht="45" customHeight="1" x14ac:dyDescent="0.3">
      <c r="A8" s="221" t="s">
        <v>30</v>
      </c>
      <c r="B8" s="137"/>
      <c r="C8" s="137"/>
      <c r="D8" s="137"/>
      <c r="E8" s="137"/>
      <c r="F8" s="137"/>
      <c r="G8" s="137"/>
      <c r="H8" s="219"/>
      <c r="I8" s="218" t="s">
        <v>1</v>
      </c>
      <c r="J8" s="137"/>
      <c r="K8" s="137"/>
      <c r="L8" s="219"/>
      <c r="M8" s="218" t="s">
        <v>1</v>
      </c>
      <c r="N8" s="137"/>
      <c r="O8" s="137"/>
      <c r="P8" s="219"/>
      <c r="Q8" s="218" t="s">
        <v>1</v>
      </c>
      <c r="R8" s="137"/>
      <c r="S8" s="137"/>
      <c r="T8" s="219"/>
    </row>
    <row r="9" spans="1:20" ht="48" customHeight="1" x14ac:dyDescent="0.3">
      <c r="A9" s="163" t="s">
        <v>306</v>
      </c>
      <c r="B9" s="139"/>
      <c r="C9" s="139"/>
      <c r="D9" s="139"/>
      <c r="E9" s="140"/>
      <c r="F9" s="163" t="s">
        <v>307</v>
      </c>
      <c r="G9" s="139"/>
      <c r="H9" s="139"/>
      <c r="I9" s="139"/>
      <c r="J9" s="140"/>
      <c r="K9" s="163" t="s">
        <v>308</v>
      </c>
      <c r="L9" s="139"/>
      <c r="M9" s="139"/>
      <c r="N9" s="139"/>
      <c r="O9" s="140"/>
      <c r="P9" s="163" t="s">
        <v>309</v>
      </c>
      <c r="Q9" s="139"/>
      <c r="R9" s="139"/>
      <c r="S9" s="139"/>
      <c r="T9" s="140"/>
    </row>
    <row r="10" spans="1:20" ht="55.05" customHeight="1" x14ac:dyDescent="0.3">
      <c r="A10" s="163" t="s">
        <v>310</v>
      </c>
      <c r="B10" s="139"/>
      <c r="C10" s="139"/>
      <c r="D10" s="140"/>
      <c r="E10" s="163" t="s">
        <v>311</v>
      </c>
      <c r="F10" s="139"/>
      <c r="G10" s="139"/>
      <c r="H10" s="140"/>
      <c r="I10" s="163" t="s">
        <v>312</v>
      </c>
      <c r="J10" s="139"/>
      <c r="K10" s="139"/>
      <c r="L10" s="140"/>
      <c r="M10" s="163" t="s">
        <v>313</v>
      </c>
      <c r="N10" s="139"/>
      <c r="O10" s="139"/>
      <c r="P10" s="140"/>
      <c r="Q10" s="163" t="s">
        <v>314</v>
      </c>
      <c r="R10" s="139"/>
      <c r="S10" s="139"/>
      <c r="T10" s="140"/>
    </row>
    <row r="11" spans="1:20" ht="18" customHeight="1" x14ac:dyDescent="0.3">
      <c r="A11" s="216" t="s">
        <v>315</v>
      </c>
      <c r="B11" s="146"/>
      <c r="C11" s="146"/>
      <c r="D11" s="217"/>
      <c r="E11" s="216" t="s">
        <v>316</v>
      </c>
      <c r="F11" s="146"/>
      <c r="G11" s="146"/>
      <c r="H11" s="217"/>
      <c r="I11" s="216" t="s">
        <v>317</v>
      </c>
      <c r="J11" s="146"/>
      <c r="K11" s="146"/>
      <c r="L11" s="217"/>
      <c r="M11" s="216" t="s">
        <v>318</v>
      </c>
      <c r="N11" s="146"/>
      <c r="O11" s="146"/>
      <c r="P11" s="217"/>
      <c r="Q11" s="216" t="s">
        <v>319</v>
      </c>
      <c r="R11" s="146"/>
      <c r="S11" s="146"/>
      <c r="T11" s="217"/>
    </row>
    <row r="12" spans="1:20" ht="39" customHeight="1" x14ac:dyDescent="0.3">
      <c r="A12" s="221" t="s">
        <v>6</v>
      </c>
      <c r="B12" s="137"/>
      <c r="C12" s="137"/>
      <c r="D12" s="219"/>
      <c r="E12" s="221">
        <v>74</v>
      </c>
      <c r="F12" s="137"/>
      <c r="G12" s="137"/>
      <c r="H12" s="219"/>
      <c r="I12" s="221" t="s">
        <v>143</v>
      </c>
      <c r="J12" s="137"/>
      <c r="K12" s="137"/>
      <c r="L12" s="219"/>
      <c r="M12" s="221">
        <v>1336</v>
      </c>
      <c r="N12" s="137"/>
      <c r="O12" s="137"/>
      <c r="P12" s="219"/>
      <c r="Q12" s="221">
        <v>1193</v>
      </c>
      <c r="R12" s="137"/>
      <c r="S12" s="137"/>
      <c r="T12" s="219"/>
    </row>
    <row r="13" spans="1:20" ht="16.95" customHeight="1" x14ac:dyDescent="0.3">
      <c r="A13" s="216" t="s">
        <v>320</v>
      </c>
      <c r="B13" s="146"/>
      <c r="C13" s="146"/>
      <c r="D13" s="217"/>
      <c r="E13" s="216" t="s">
        <v>321</v>
      </c>
      <c r="F13" s="146"/>
      <c r="G13" s="146"/>
      <c r="H13" s="146"/>
      <c r="I13" s="146"/>
      <c r="J13" s="146"/>
      <c r="K13" s="146"/>
      <c r="L13" s="146"/>
      <c r="M13" s="217"/>
      <c r="N13" s="216" t="s">
        <v>233</v>
      </c>
      <c r="O13" s="146"/>
      <c r="P13" s="146"/>
      <c r="Q13" s="146"/>
      <c r="R13" s="146"/>
      <c r="S13" s="146"/>
      <c r="T13" s="217"/>
    </row>
    <row r="14" spans="1:20" ht="17.100000000000001" customHeight="1" x14ac:dyDescent="0.3">
      <c r="A14" s="218" t="s">
        <v>1</v>
      </c>
      <c r="B14" s="137"/>
      <c r="C14" s="137"/>
      <c r="D14" s="219"/>
      <c r="E14" s="218" t="s">
        <v>1</v>
      </c>
      <c r="F14" s="137"/>
      <c r="G14" s="137"/>
      <c r="H14" s="137"/>
      <c r="I14" s="137"/>
      <c r="J14" s="137"/>
      <c r="K14" s="137"/>
      <c r="L14" s="137"/>
      <c r="M14" s="219"/>
      <c r="N14" s="221" t="s">
        <v>30</v>
      </c>
      <c r="O14" s="137"/>
      <c r="P14" s="137"/>
      <c r="Q14" s="137"/>
      <c r="R14" s="137"/>
      <c r="S14" s="137"/>
      <c r="T14" s="219"/>
    </row>
    <row r="15" spans="1:20" ht="58.95" customHeight="1" x14ac:dyDescent="0.3">
      <c r="A15" s="163" t="s">
        <v>322</v>
      </c>
      <c r="B15" s="139"/>
      <c r="C15" s="139"/>
      <c r="D15" s="139"/>
      <c r="E15" s="139"/>
      <c r="F15" s="139"/>
      <c r="G15" s="139"/>
      <c r="H15" s="139"/>
      <c r="I15" s="139"/>
      <c r="J15" s="139"/>
      <c r="K15" s="139"/>
      <c r="L15" s="139"/>
      <c r="M15" s="139"/>
      <c r="N15" s="139"/>
      <c r="O15" s="139"/>
      <c r="P15" s="139"/>
      <c r="Q15" s="139"/>
      <c r="R15" s="139"/>
      <c r="S15" s="139"/>
      <c r="T15" s="140"/>
    </row>
    <row r="16" spans="1:20" x14ac:dyDescent="0.3">
      <c r="A16" s="46" t="s">
        <v>215</v>
      </c>
      <c r="B16" s="214" t="s">
        <v>323</v>
      </c>
      <c r="C16" s="137"/>
      <c r="D16" s="214" t="s">
        <v>324</v>
      </c>
      <c r="E16" s="137"/>
      <c r="F16" s="137"/>
      <c r="G16" s="137"/>
      <c r="H16" s="137"/>
      <c r="I16" s="214" t="s">
        <v>276</v>
      </c>
      <c r="J16" s="137"/>
      <c r="K16" s="214" t="s">
        <v>325</v>
      </c>
      <c r="L16" s="137"/>
      <c r="M16" s="214" t="s">
        <v>326</v>
      </c>
      <c r="N16" s="137"/>
      <c r="O16" s="214" t="s">
        <v>327</v>
      </c>
      <c r="P16" s="137"/>
      <c r="Q16" s="214" t="s">
        <v>328</v>
      </c>
      <c r="R16" s="137"/>
      <c r="S16" s="220" t="s">
        <v>329</v>
      </c>
      <c r="T16" s="219"/>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63" t="s">
        <v>330</v>
      </c>
      <c r="B24" s="139"/>
      <c r="C24" s="139"/>
      <c r="D24" s="139"/>
      <c r="E24" s="139"/>
      <c r="F24" s="139"/>
      <c r="G24" s="139"/>
      <c r="H24" s="139"/>
      <c r="I24" s="139"/>
      <c r="J24" s="139"/>
      <c r="K24" s="139"/>
      <c r="L24" s="139"/>
      <c r="M24" s="139"/>
      <c r="N24" s="139"/>
      <c r="O24" s="139"/>
      <c r="P24" s="139"/>
      <c r="Q24" s="139"/>
      <c r="R24" s="139"/>
      <c r="S24" s="139"/>
      <c r="T24" s="140"/>
    </row>
    <row r="25" spans="1:20" ht="52.05" customHeight="1" x14ac:dyDescent="0.3">
      <c r="A25" s="212" t="s">
        <v>331</v>
      </c>
      <c r="B25" s="132"/>
      <c r="C25" s="132"/>
      <c r="D25" s="132"/>
      <c r="E25" s="132"/>
      <c r="F25" s="132"/>
      <c r="G25" s="215" t="s">
        <v>332</v>
      </c>
      <c r="H25" s="132"/>
      <c r="I25" s="132"/>
      <c r="J25" s="132"/>
      <c r="K25" s="132"/>
      <c r="L25" s="132"/>
      <c r="M25" s="216" t="s">
        <v>333</v>
      </c>
      <c r="N25" s="146"/>
      <c r="O25" s="146"/>
      <c r="P25" s="146"/>
      <c r="Q25" s="146"/>
      <c r="R25" s="146"/>
      <c r="S25" s="146"/>
      <c r="T25" s="217"/>
    </row>
    <row r="26" spans="1:20" x14ac:dyDescent="0.3">
      <c r="A26" s="212" t="s">
        <v>334</v>
      </c>
      <c r="B26" s="132"/>
      <c r="C26" s="132"/>
      <c r="D26" s="132"/>
      <c r="E26" s="132"/>
      <c r="F26" s="132"/>
      <c r="G26" s="4" t="s">
        <v>1</v>
      </c>
      <c r="H26" s="4" t="s">
        <v>1</v>
      </c>
      <c r="I26" s="4" t="s">
        <v>1</v>
      </c>
      <c r="J26" s="4" t="s">
        <v>1</v>
      </c>
      <c r="K26" s="4" t="s">
        <v>1</v>
      </c>
      <c r="L26" s="4" t="s">
        <v>1</v>
      </c>
      <c r="M26" s="218" t="s">
        <v>1</v>
      </c>
      <c r="N26" s="137"/>
      <c r="O26" s="137"/>
      <c r="P26" s="137"/>
      <c r="Q26" s="137"/>
      <c r="R26" s="137"/>
      <c r="S26" s="137"/>
      <c r="T26" s="219"/>
    </row>
    <row r="27" spans="1:20" ht="63" customHeight="1" x14ac:dyDescent="0.3">
      <c r="A27" s="212" t="s">
        <v>335</v>
      </c>
      <c r="B27" s="132"/>
      <c r="C27" s="132"/>
      <c r="D27" s="132"/>
      <c r="E27" s="132"/>
      <c r="F27" s="132"/>
      <c r="G27" s="162" t="s">
        <v>336</v>
      </c>
      <c r="H27" s="132"/>
      <c r="I27" s="132"/>
      <c r="J27" s="132"/>
      <c r="K27" s="132"/>
      <c r="L27" s="132"/>
      <c r="M27" s="163" t="s">
        <v>1</v>
      </c>
      <c r="N27" s="139"/>
      <c r="O27" s="139"/>
      <c r="P27" s="139"/>
      <c r="Q27" s="139"/>
      <c r="R27" s="139"/>
      <c r="S27" s="139"/>
      <c r="T27" s="140"/>
    </row>
    <row r="28" spans="1:20" ht="76.05" customHeight="1" x14ac:dyDescent="0.3">
      <c r="A28" s="213" t="s">
        <v>337</v>
      </c>
      <c r="B28" s="137"/>
      <c r="C28" s="137"/>
      <c r="D28" s="137"/>
      <c r="E28" s="137"/>
      <c r="F28" s="137"/>
      <c r="G28" s="214" t="s">
        <v>338</v>
      </c>
      <c r="H28" s="137"/>
      <c r="I28" s="137"/>
      <c r="J28" s="137"/>
      <c r="K28" s="137"/>
      <c r="L28" s="137"/>
      <c r="M28" s="163" t="s">
        <v>1</v>
      </c>
      <c r="N28" s="139"/>
      <c r="O28" s="139"/>
      <c r="P28" s="139"/>
      <c r="Q28" s="139"/>
      <c r="R28" s="139"/>
      <c r="S28" s="139"/>
      <c r="T28" s="140"/>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63" t="s">
        <v>339</v>
      </c>
      <c r="B1" s="139"/>
      <c r="C1" s="140"/>
      <c r="D1" s="231" t="s">
        <v>340</v>
      </c>
      <c r="E1" s="139"/>
      <c r="F1" s="139"/>
      <c r="G1" s="140"/>
    </row>
    <row r="2" spans="1:7" ht="37.950000000000003" customHeight="1" x14ac:dyDescent="0.3">
      <c r="A2" s="228" t="s">
        <v>30</v>
      </c>
      <c r="B2" s="132"/>
      <c r="C2" s="225"/>
      <c r="D2" s="227" t="s">
        <v>341</v>
      </c>
      <c r="E2" s="132"/>
      <c r="F2" s="132"/>
      <c r="G2" s="225"/>
    </row>
    <row r="3" spans="1:7" ht="43.95" customHeight="1" x14ac:dyDescent="0.3">
      <c r="A3" s="221" t="s">
        <v>33</v>
      </c>
      <c r="B3" s="137"/>
      <c r="C3" s="219"/>
      <c r="D3" s="227" t="s">
        <v>342</v>
      </c>
      <c r="E3" s="132"/>
      <c r="F3" s="132"/>
      <c r="G3" s="225"/>
    </row>
    <row r="4" spans="1:7" ht="38.1" customHeight="1" x14ac:dyDescent="0.3">
      <c r="A4" s="216" t="s">
        <v>343</v>
      </c>
      <c r="B4" s="146"/>
      <c r="C4" s="217"/>
      <c r="D4" s="227" t="s">
        <v>1</v>
      </c>
      <c r="E4" s="132"/>
      <c r="F4" s="132"/>
      <c r="G4" s="225"/>
    </row>
    <row r="5" spans="1:7" ht="40.049999999999997" customHeight="1" x14ac:dyDescent="0.3">
      <c r="A5" s="228" t="s">
        <v>212</v>
      </c>
      <c r="B5" s="132"/>
      <c r="C5" s="225"/>
      <c r="D5" s="229" t="s">
        <v>344</v>
      </c>
      <c r="E5" s="132"/>
      <c r="F5" s="132"/>
      <c r="G5" s="225"/>
    </row>
    <row r="6" spans="1:7" ht="37.049999999999997" customHeight="1" x14ac:dyDescent="0.3">
      <c r="A6" s="221" t="s">
        <v>213</v>
      </c>
      <c r="B6" s="137"/>
      <c r="C6" s="219"/>
      <c r="D6" s="230" t="s">
        <v>345</v>
      </c>
      <c r="E6" s="137"/>
      <c r="F6" s="137"/>
      <c r="G6" s="219"/>
    </row>
    <row r="7" spans="1:7" ht="82.05" customHeight="1" x14ac:dyDescent="0.3">
      <c r="A7" s="163" t="s">
        <v>346</v>
      </c>
      <c r="B7" s="139"/>
      <c r="C7" s="140"/>
      <c r="D7" s="163" t="s">
        <v>347</v>
      </c>
      <c r="E7" s="139"/>
      <c r="F7" s="139"/>
      <c r="G7" s="140"/>
    </row>
    <row r="8" spans="1:7" ht="61.2" x14ac:dyDescent="0.3">
      <c r="A8" s="37" t="s">
        <v>348</v>
      </c>
      <c r="B8" s="37" t="s">
        <v>349</v>
      </c>
      <c r="C8" s="163" t="s">
        <v>350</v>
      </c>
      <c r="D8" s="140"/>
      <c r="E8" s="37" t="s">
        <v>351</v>
      </c>
      <c r="F8" s="37" t="s">
        <v>352</v>
      </c>
      <c r="G8" s="37" t="s">
        <v>353</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216" t="s">
        <v>354</v>
      </c>
      <c r="B12" s="146"/>
      <c r="C12" s="217"/>
      <c r="D12" s="216" t="s">
        <v>355</v>
      </c>
      <c r="E12" s="146"/>
      <c r="F12" s="146"/>
      <c r="G12" s="217"/>
    </row>
    <row r="13" spans="1:7" ht="25.05" customHeight="1" x14ac:dyDescent="0.3">
      <c r="A13" s="224" t="s">
        <v>1</v>
      </c>
      <c r="B13" s="132"/>
      <c r="C13" s="225"/>
      <c r="D13" s="224" t="s">
        <v>1</v>
      </c>
      <c r="E13" s="132"/>
      <c r="F13" s="132"/>
      <c r="G13" s="225"/>
    </row>
    <row r="14" spans="1:7" ht="34.950000000000003" customHeight="1" x14ac:dyDescent="0.3">
      <c r="A14" s="224" t="s">
        <v>1</v>
      </c>
      <c r="B14" s="132"/>
      <c r="C14" s="225"/>
      <c r="D14" s="224" t="s">
        <v>356</v>
      </c>
      <c r="E14" s="132"/>
      <c r="F14" s="132"/>
      <c r="G14" s="225"/>
    </row>
    <row r="15" spans="1:7" ht="17.100000000000001" customHeight="1" x14ac:dyDescent="0.3">
      <c r="A15" s="224" t="s">
        <v>1</v>
      </c>
      <c r="B15" s="132"/>
      <c r="C15" s="225"/>
      <c r="D15" s="224" t="s">
        <v>1</v>
      </c>
      <c r="E15" s="132"/>
      <c r="F15" s="132"/>
      <c r="G15" s="225"/>
    </row>
    <row r="16" spans="1:7" ht="25.95" customHeight="1" x14ac:dyDescent="0.3">
      <c r="A16" s="224" t="s">
        <v>1</v>
      </c>
      <c r="B16" s="132"/>
      <c r="C16" s="225"/>
      <c r="D16" s="226" t="s">
        <v>357</v>
      </c>
      <c r="E16" s="132"/>
      <c r="F16" s="132"/>
      <c r="G16" s="225"/>
    </row>
    <row r="17" spans="1:7" ht="31.95" customHeight="1" x14ac:dyDescent="0.3">
      <c r="A17" s="224" t="s">
        <v>1</v>
      </c>
      <c r="B17" s="132"/>
      <c r="C17" s="225"/>
      <c r="D17" s="224" t="s">
        <v>1</v>
      </c>
      <c r="E17" s="132"/>
      <c r="F17" s="132"/>
      <c r="G17" s="225"/>
    </row>
    <row r="18" spans="1:7" ht="16.95" customHeight="1" x14ac:dyDescent="0.3">
      <c r="A18" s="218" t="s">
        <v>358</v>
      </c>
      <c r="B18" s="137"/>
      <c r="C18" s="219"/>
      <c r="D18" s="218" t="s">
        <v>359</v>
      </c>
      <c r="E18" s="137"/>
      <c r="F18" s="137"/>
      <c r="G18" s="219"/>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NO_IP</vt:lpstr>
      <vt:lpstr>RU-ORDER CONFIRMATION</vt:lpstr>
      <vt:lpstr>ORDER CONFIRMATION</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Перевод экспортной</vt:lpstr>
      <vt:lpstr>RU-Cargo Receipt</vt:lpstr>
      <vt:lpstr>RU - Export Decl.</vt:lpstr>
      <vt:lpstr>RU - Form A</vt:lpstr>
      <vt:lpstr>'Перевод экспортной'!Область_печати</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Gulenko Anatoliy (Гуленко Анатолий Анатольевич)</cp:lastModifiedBy>
  <cp:lastPrinted>2026-04-08T08:03:33Z</cp:lastPrinted>
  <dcterms:created xsi:type="dcterms:W3CDTF">2026-03-24T07:57:34Z</dcterms:created>
  <dcterms:modified xsi:type="dcterms:W3CDTF">2026-04-08T13:12:55Z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